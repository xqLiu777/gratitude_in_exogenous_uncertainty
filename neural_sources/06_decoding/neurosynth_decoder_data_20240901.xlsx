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\Desktop\jupyter\CMF2024\fmri\06_decoding\"/>
    </mc:Choice>
  </mc:AlternateContent>
  <xr:revisionPtr revIDLastSave="0" documentId="13_ncr:1_{CD969DB3-4DB0-4CBB-8699-6C94E99BD80C}" xr6:coauthVersionLast="47" xr6:coauthVersionMax="47" xr10:uidLastSave="{00000000-0000-0000-0000-000000000000}"/>
  <bookViews>
    <workbookView xWindow="38280" yWindow="-120" windowWidth="29040" windowHeight="15720" activeTab="5" xr2:uid="{A14E3636-A255-4096-8D68-DBC786B65CB3}"/>
  </bookViews>
  <sheets>
    <sheet name="NoUse" sheetId="12" r:id="rId1"/>
    <sheet name="Ascertain_NoUse" sheetId="10" r:id="rId2"/>
    <sheet name="Ascertain_inverse" sheetId="13" r:id="rId3"/>
    <sheet name="Cost" sheetId="5" r:id="rId4"/>
    <sheet name="Sheet1" sheetId="15" r:id="rId5"/>
    <sheet name="indivi_differ_Certain" sheetId="11" r:id="rId6"/>
    <sheet name="Sheet2" sheetId="16" r:id="rId7"/>
    <sheet name="indivi_differ_Risky" sheetId="14" r:id="rId8"/>
  </sheets>
  <calcPr calcId="18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1" l="1"/>
  <c r="L5" i="11"/>
  <c r="S5" i="11"/>
  <c r="D5" i="11"/>
  <c r="M5" i="11"/>
  <c r="H5" i="11"/>
  <c r="J5" i="11"/>
  <c r="K5" i="11"/>
  <c r="I5" i="11"/>
  <c r="N5" i="11"/>
  <c r="P5" i="11"/>
  <c r="Q5" i="11"/>
  <c r="R5" i="11"/>
  <c r="T5" i="11"/>
  <c r="E5" i="11"/>
  <c r="O5" i="11"/>
  <c r="F5" i="11"/>
  <c r="U5" i="11"/>
  <c r="V5" i="11"/>
  <c r="W5" i="11"/>
  <c r="X5" i="11"/>
  <c r="G5" i="11"/>
  <c r="C6" i="11"/>
  <c r="L6" i="11"/>
  <c r="S6" i="11"/>
  <c r="D6" i="11"/>
  <c r="M6" i="11"/>
  <c r="H6" i="11"/>
  <c r="J6" i="11"/>
  <c r="K6" i="11"/>
  <c r="I6" i="11"/>
  <c r="N6" i="11"/>
  <c r="P6" i="11"/>
  <c r="Q6" i="11"/>
  <c r="R6" i="11"/>
  <c r="T6" i="11"/>
  <c r="E6" i="11"/>
  <c r="O6" i="11"/>
  <c r="F6" i="11"/>
  <c r="U6" i="11"/>
  <c r="V6" i="11"/>
  <c r="W6" i="11"/>
  <c r="X6" i="11"/>
  <c r="G6" i="11"/>
  <c r="C7" i="11"/>
  <c r="L7" i="11"/>
  <c r="S7" i="11"/>
  <c r="D7" i="11"/>
  <c r="M7" i="11"/>
  <c r="H7" i="11"/>
  <c r="J7" i="11"/>
  <c r="K7" i="11"/>
  <c r="I7" i="11"/>
  <c r="N7" i="11"/>
  <c r="P7" i="11"/>
  <c r="Q7" i="11"/>
  <c r="R7" i="11"/>
  <c r="T7" i="11"/>
  <c r="E7" i="11"/>
  <c r="O7" i="11"/>
  <c r="F7" i="11"/>
  <c r="U7" i="11"/>
  <c r="V7" i="11"/>
  <c r="W7" i="11"/>
  <c r="X7" i="11"/>
  <c r="G7" i="11"/>
  <c r="B6" i="11"/>
  <c r="B7" i="11"/>
  <c r="B5" i="11"/>
  <c r="X3" i="13"/>
  <c r="W3" i="13"/>
  <c r="G3" i="13"/>
  <c r="V3" i="13"/>
  <c r="U3" i="13"/>
  <c r="N3" i="13"/>
  <c r="T3" i="13"/>
  <c r="S3" i="13"/>
  <c r="R3" i="13"/>
  <c r="Q3" i="13"/>
  <c r="P3" i="13"/>
  <c r="O3" i="13"/>
  <c r="D3" i="13"/>
  <c r="M3" i="13"/>
  <c r="L3" i="13"/>
  <c r="K3" i="13"/>
  <c r="J3" i="13"/>
  <c r="F3" i="13"/>
  <c r="I3" i="13"/>
  <c r="E3" i="13"/>
  <c r="C3" i="13"/>
  <c r="H3" i="13"/>
  <c r="B3" i="13"/>
  <c r="X2" i="13"/>
  <c r="W2" i="13"/>
  <c r="G2" i="13"/>
  <c r="V2" i="13"/>
  <c r="U2" i="13"/>
  <c r="N2" i="13"/>
  <c r="T2" i="13"/>
  <c r="S2" i="13"/>
  <c r="R2" i="13"/>
  <c r="Q2" i="13"/>
  <c r="P2" i="13"/>
  <c r="O2" i="13"/>
  <c r="D2" i="13"/>
  <c r="M2" i="13"/>
  <c r="L2" i="13"/>
  <c r="K2" i="13"/>
  <c r="J2" i="13"/>
  <c r="F2" i="13"/>
  <c r="I2" i="13"/>
  <c r="E2" i="13"/>
  <c r="C2" i="13"/>
  <c r="H2" i="13"/>
  <c r="B2" i="13"/>
</calcChain>
</file>

<file path=xl/sharedStrings.xml><?xml version="1.0" encoding="utf-8"?>
<sst xmlns="http://schemas.openxmlformats.org/spreadsheetml/2006/main" count="151" uniqueCount="49">
  <si>
    <t>Keywords</t>
    <phoneticPr fontId="1" type="noConversion"/>
  </si>
  <si>
    <t>Imagine</t>
    <phoneticPr fontId="1" type="noConversion"/>
  </si>
  <si>
    <t>Switching</t>
    <phoneticPr fontId="1" type="noConversion"/>
  </si>
  <si>
    <t>Salience</t>
    <phoneticPr fontId="1" type="noConversion"/>
  </si>
  <si>
    <t>Conflict</t>
    <phoneticPr fontId="1" type="noConversion"/>
  </si>
  <si>
    <t>Memory</t>
    <phoneticPr fontId="1" type="noConversion"/>
  </si>
  <si>
    <t>Attention</t>
    <phoneticPr fontId="1" type="noConversion"/>
  </si>
  <si>
    <t>Cognitive control</t>
    <phoneticPr fontId="1" type="noConversion"/>
  </si>
  <si>
    <t>Inhibition</t>
    <phoneticPr fontId="1" type="noConversion"/>
  </si>
  <si>
    <t>Anxiety</t>
    <phoneticPr fontId="1" type="noConversion"/>
  </si>
  <si>
    <t>Fear</t>
    <phoneticPr fontId="1" type="noConversion"/>
  </si>
  <si>
    <t>Default mode</t>
    <phoneticPr fontId="1" type="noConversion"/>
  </si>
  <si>
    <t>Reward</t>
    <phoneticPr fontId="1" type="noConversion"/>
  </si>
  <si>
    <t>Punishment</t>
    <phoneticPr fontId="1" type="noConversion"/>
  </si>
  <si>
    <t>Learning</t>
    <phoneticPr fontId="1" type="noConversion"/>
  </si>
  <si>
    <t>Prediction error</t>
    <phoneticPr fontId="1" type="noConversion"/>
  </si>
  <si>
    <t>Choice</t>
    <phoneticPr fontId="1" type="noConversion"/>
  </si>
  <si>
    <t>Outcome</t>
    <phoneticPr fontId="1" type="noConversion"/>
  </si>
  <si>
    <t>Empathy</t>
    <phoneticPr fontId="1" type="noConversion"/>
  </si>
  <si>
    <t>Theory of mind</t>
    <phoneticPr fontId="1" type="noConversion"/>
  </si>
  <si>
    <t>Social</t>
    <phoneticPr fontId="1" type="noConversion"/>
  </si>
  <si>
    <t>Imitation</t>
    <phoneticPr fontId="1" type="noConversion"/>
  </si>
  <si>
    <t>Salience Network</t>
    <phoneticPr fontId="1" type="noConversion"/>
  </si>
  <si>
    <t>Calculation</t>
    <phoneticPr fontId="1" type="noConversion"/>
  </si>
  <si>
    <t>Emotions</t>
    <phoneticPr fontId="1" type="noConversion"/>
  </si>
  <si>
    <t>Risky_vs_Risky2</t>
    <phoneticPr fontId="1" type="noConversion"/>
  </si>
  <si>
    <t>Risky_vs_Risky8</t>
    <phoneticPr fontId="1" type="noConversion"/>
  </si>
  <si>
    <t>OO8_vs_OO2</t>
    <phoneticPr fontId="1" type="noConversion"/>
  </si>
  <si>
    <t>DC8_vs_DC2</t>
    <phoneticPr fontId="1" type="noConversion"/>
  </si>
  <si>
    <t>Risky8_vs_Risky2</t>
    <phoneticPr fontId="1" type="noConversion"/>
  </si>
  <si>
    <t>Risky8_vs_Risky</t>
    <phoneticPr fontId="1" type="noConversion"/>
  </si>
  <si>
    <t>Risky2_vs_Risky</t>
    <phoneticPr fontId="1" type="noConversion"/>
  </si>
  <si>
    <t>Asymmetry_C8_vs_C2</t>
    <phoneticPr fontId="1" type="noConversion"/>
  </si>
  <si>
    <t>Symmetry_C8_vs_C2</t>
    <phoneticPr fontId="1" type="noConversion"/>
  </si>
  <si>
    <t>Asymmetry_R8_vs_R2</t>
    <phoneticPr fontId="1" type="noConversion"/>
  </si>
  <si>
    <t>Symmetry_R8_vs_R2</t>
    <phoneticPr fontId="1" type="noConversion"/>
  </si>
  <si>
    <t>Certain8_vs_Certain2</t>
    <phoneticPr fontId="1" type="noConversion"/>
  </si>
  <si>
    <t>Asymmetry_C8_vs_C2_inverse</t>
    <phoneticPr fontId="1" type="noConversion"/>
  </si>
  <si>
    <t>Symmetry_C8_vs_C2_inverse</t>
    <phoneticPr fontId="1" type="noConversion"/>
  </si>
  <si>
    <t>Certain8_vs_Certain2_inverse</t>
    <phoneticPr fontId="1" type="noConversion"/>
  </si>
  <si>
    <t>行标签</t>
  </si>
  <si>
    <t>Asymmetry_C8_vs_C2</t>
  </si>
  <si>
    <t>Certain8_vs_Certain2</t>
  </si>
  <si>
    <t>Symmetry_C8_vs_C2</t>
  </si>
  <si>
    <t>总计</t>
  </si>
  <si>
    <t>求和项:Theory of mind</t>
  </si>
  <si>
    <t>Asymmetry_R8_vs_R2</t>
  </si>
  <si>
    <t>Risky8_vs_Risky2</t>
  </si>
  <si>
    <t>Symmetry_R8_vs_R2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</si>
</sst>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[neurosynth_decoder_data_20240901.xlsx]Sheet1!数据透视表1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3"/>
                <c:pt idx="0">
                  <c:v>Asymmetry_C8_vs_C2</c:v>
                </c:pt>
                <c:pt idx="1">
                  <c:v>Certain8_vs_Certain2</c:v>
                </c:pt>
                <c:pt idx="2">
                  <c:v>Symmetry_C8_vs_C2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3"/>
                <c:pt idx="0">
                  <c:v>-0.03</c:v>
                </c:pt>
                <c:pt idx="1">
                  <c:v>-2.7E-2</c:v>
                </c:pt>
                <c:pt idx="2">
                  <c:v>-3.0000000000000001E-3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3-48CB-9BC1-5F8C844CE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095328"/>
        <c:axId val="721093888"/>
      </c:barChart>
      <c:catAx>
        <c:axId val="72109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1093888"/>
        <c:crosses val="autoZero"/>
        <c:auto val="1"/>
        <c:lblAlgn val="ctr"/>
        <c:lblOffset val="100"/>
        <c:noMultiLvlLbl val="0"/>
      </c:catAx>
      <c:valAx>
        <c:axId val="72109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109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[neurosynth_decoder_data_20240901.xlsx]Sheet2!数据透视表2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Sheet2!$A$2:$A$5</c:f>
              <c:strCache>
                <c:ptCount val="3"/>
                <c:pt idx="0">
                  <c:v>Asymmetry_R8_vs_R2</c:v>
                </c:pt>
                <c:pt idx="1">
                  <c:v>Risky8_vs_Risky2</c:v>
                </c:pt>
                <c:pt idx="2">
                  <c:v>Symmetry_R8_vs_R2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7.2999999999999995E-2</c:v>
                </c:pt>
                <c:pt idx="1">
                  <c:v>4.2000000000000003E-2</c:v>
                </c:pt>
                <c:pt idx="2">
                  <c:v>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D-4CEB-BE45-5B0870D6C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7012608"/>
        <c:axId val="1467011648"/>
      </c:barChart>
      <c:catAx>
        <c:axId val="146701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7011648"/>
        <c:crosses val="autoZero"/>
        <c:auto val="1"/>
        <c:lblAlgn val="ctr"/>
        <c:lblOffset val="100"/>
        <c:noMultiLvlLbl val="0"/>
      </c:catAx>
      <c:valAx>
        <c:axId val="146701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701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685799</xdr:colOff>
      <xdr:row>1</xdr:row>
      <xdr:rowOff>0</xdr:rowOff>
    </xdr:from>
    <xdr:to>
      <xdr:col>17</xdr:col>
      <xdr:colOff>571500</xdr:colOff>
      <xdr:row>29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25063C0-C79D-6A6B-B8C2-753015168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1228725</xdr:colOff>
      <xdr:row>3</xdr:row>
      <xdr:rowOff>142875</xdr:rowOff>
    </xdr:from>
    <xdr:to>
      <xdr:col>13</xdr:col>
      <xdr:colOff>314325</xdr:colOff>
      <xdr:row>36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CB40DF2-AB23-2A24-3864-DE4883C52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11" refreshedDate="45544.607210416667" createdVersion="8" refreshedVersion="8" minRefreshableVersion="3" recordCount="6" xr:uid="{32173C03-58D2-4FFA-8840-5FBB286275A8}">
  <cacheSource type="worksheet">
    <worksheetSource ref="A1:X7" sheet="indivi_differ_Certain"/>
  </cacheSource>
  <cacheFields count="24">
    <cacheField name="Keywords" numFmtId="0">
      <sharedItems count="6">
        <s v="Asymmetry_C8_vs_C2"/>
        <s v="Symmetry_C8_vs_C2"/>
        <s v="Certain8_vs_Certain2"/>
        <s v="Asymmetry_C8_vs_C2_inverse"/>
        <s v="Symmetry_C8_vs_C2_inverse"/>
        <s v="Certain8_vs_Certain2_inverse"/>
      </sharedItems>
    </cacheField>
    <cacheField name="Punishment" numFmtId="0">
      <sharedItems containsSemiMixedTypes="0" containsString="0" containsNumber="1" minValue="-2.1000000000000001E-2" maxValue="2.1000000000000001E-2"/>
    </cacheField>
    <cacheField name="Choice" numFmtId="0">
      <sharedItems containsSemiMixedTypes="0" containsString="0" containsNumber="1" minValue="-1.9E-2" maxValue="1.9E-2"/>
    </cacheField>
    <cacheField name="Memory" numFmtId="0">
      <sharedItems containsSemiMixedTypes="0" containsString="0" containsNumber="1" minValue="-2.1000000000000001E-2" maxValue="2.1000000000000001E-2"/>
    </cacheField>
    <cacheField name="Fear" numFmtId="0">
      <sharedItems containsSemiMixedTypes="0" containsString="0" containsNumber="1" minValue="-2.3E-2" maxValue="2.3E-2"/>
    </cacheField>
    <cacheField name="Imitation" numFmtId="0">
      <sharedItems containsSemiMixedTypes="0" containsString="0" containsNumber="1" minValue="-3.1E-2" maxValue="3.1E-2"/>
    </cacheField>
    <cacheField name="Imagine" numFmtId="0">
      <sharedItems containsSemiMixedTypes="0" containsString="0" containsNumber="1" minValue="-1.4999999999999999E-2" maxValue="1.4999999999999999E-2"/>
    </cacheField>
    <cacheField name="Conflict" numFmtId="0">
      <sharedItems containsSemiMixedTypes="0" containsString="0" containsNumber="1" minValue="-3.5000000000000003E-2" maxValue="3.5000000000000003E-2"/>
    </cacheField>
    <cacheField name="Attention" numFmtId="0">
      <sharedItems containsSemiMixedTypes="0" containsString="0" containsNumber="1" minValue="-3.3000000000000002E-2" maxValue="3.3000000000000002E-2"/>
    </cacheField>
    <cacheField name="Cognitive control" numFmtId="0">
      <sharedItems containsSemiMixedTypes="0" containsString="0" containsNumber="1" minValue="-6.0000000000000001E-3" maxValue="6.0000000000000001E-3"/>
    </cacheField>
    <cacheField name="Inhibition" numFmtId="0">
      <sharedItems containsSemiMixedTypes="0" containsString="0" containsNumber="1" minValue="-0.01" maxValue="0.01"/>
    </cacheField>
    <cacheField name="Switching" numFmtId="0">
      <sharedItems containsSemiMixedTypes="0" containsString="0" containsNumber="1" minValue="-8.0000000000000002E-3" maxValue="8.0000000000000002E-3"/>
    </cacheField>
    <cacheField name="Calculation" numFmtId="0">
      <sharedItems containsSemiMixedTypes="0" containsString="0" containsNumber="1" minValue="-2.1000000000000001E-2" maxValue="2.1000000000000001E-2"/>
    </cacheField>
    <cacheField name="Theory of mind" numFmtId="0">
      <sharedItems containsSemiMixedTypes="0" containsString="0" containsNumber="1" minValue="-0.03" maxValue="0.03"/>
    </cacheField>
    <cacheField name="Default mode" numFmtId="0">
      <sharedItems containsSemiMixedTypes="0" containsString="0" containsNumber="1" minValue="-3.3000000000000002E-2" maxValue="3.3000000000000002E-2"/>
    </cacheField>
    <cacheField name="Social" numFmtId="0">
      <sharedItems containsSemiMixedTypes="0" containsString="0" containsNumber="1" minValue="-2.3E-2" maxValue="2.3E-2"/>
    </cacheField>
    <cacheField name="Emotions" numFmtId="0">
      <sharedItems containsSemiMixedTypes="0" containsString="0" containsNumber="1" minValue="-6.0000000000000001E-3" maxValue="6.0000000000000001E-3"/>
    </cacheField>
    <cacheField name="Empathy" numFmtId="0">
      <sharedItems containsSemiMixedTypes="0" containsString="0" containsNumber="1" minValue="-3.0000000000000001E-3" maxValue="3.0000000000000001E-3"/>
    </cacheField>
    <cacheField name="Salience" numFmtId="0">
      <sharedItems containsSemiMixedTypes="0" containsString="0" containsNumber="1" containsInteger="1" minValue="0" maxValue="0"/>
    </cacheField>
    <cacheField name="Anxiety" numFmtId="0">
      <sharedItems containsSemiMixedTypes="0" containsString="0" containsNumber="1" minValue="-2.5000000000000001E-2" maxValue="2.5000000000000001E-2"/>
    </cacheField>
    <cacheField name="Reward" numFmtId="0">
      <sharedItems containsSemiMixedTypes="0" containsString="0" containsNumber="1" minValue="-0.06" maxValue="0.06"/>
    </cacheField>
    <cacheField name="Outcome" numFmtId="0">
      <sharedItems containsSemiMixedTypes="0" containsString="0" containsNumber="1" minValue="-3.7999999999999999E-2" maxValue="3.7999999999999999E-2"/>
    </cacheField>
    <cacheField name="Learning" numFmtId="0">
      <sharedItems containsSemiMixedTypes="0" containsString="0" containsNumber="1" minValue="-3.6999999999999998E-2" maxValue="3.6999999999999998E-2"/>
    </cacheField>
    <cacheField name="Prediction error" numFmtId="0">
      <sharedItems containsSemiMixedTypes="0" containsString="0" containsNumber="1" minValue="-3.1E-2" maxValue="3.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11" refreshedDate="45544.608095833333" createdVersion="8" refreshedVersion="8" minRefreshableVersion="3" recordCount="4" xr:uid="{48F99E1E-7685-45EF-AB4A-110709CA2F28}">
  <cacheSource type="worksheet">
    <worksheetSource ref="A1:X1048576" sheet="indivi_differ_Risky"/>
  </cacheSource>
  <cacheFields count="24">
    <cacheField name="Keywords" numFmtId="0">
      <sharedItems containsBlank="1" count="4">
        <s v="Asymmetry_R8_vs_R2"/>
        <s v="Symmetry_R8_vs_R2"/>
        <s v="Risky8_vs_Risky2"/>
        <m/>
      </sharedItems>
    </cacheField>
    <cacheField name="Punishment" numFmtId="0">
      <sharedItems containsString="0" containsBlank="1" containsNumber="1" minValue="-2.5000000000000001E-2" maxValue="-1.2999999999999999E-2"/>
    </cacheField>
    <cacheField name="Choice" numFmtId="0">
      <sharedItems containsString="0" containsBlank="1" containsNumber="1" minValue="-3.0000000000000001E-3" maxValue="2E-3"/>
    </cacheField>
    <cacheField name="Salience" numFmtId="0">
      <sharedItems containsString="0" containsBlank="1" containsNumber="1" containsInteger="1" minValue="0" maxValue="0"/>
    </cacheField>
    <cacheField name="Conflict" numFmtId="0">
      <sharedItems containsString="0" containsBlank="1" containsNumber="1" minValue="1.4E-2" maxValue="1.9E-2"/>
    </cacheField>
    <cacheField name="Cognitive control" numFmtId="0">
      <sharedItems containsString="0" containsBlank="1" containsNumber="1" minValue="1.4E-2" maxValue="0.02"/>
    </cacheField>
    <cacheField name="Switching" numFmtId="0">
      <sharedItems containsString="0" containsBlank="1" containsNumber="1" minValue="-7.0000000000000001E-3" maxValue="8.0000000000000002E-3"/>
    </cacheField>
    <cacheField name="Inhibition" numFmtId="0">
      <sharedItems containsString="0" containsBlank="1" containsNumber="1" minValue="2E-3" maxValue="1.7999999999999999E-2"/>
    </cacheField>
    <cacheField name="Theory of mind" numFmtId="0">
      <sharedItems containsString="0" containsBlank="1" containsNumber="1" minValue="8.0000000000000002E-3" maxValue="7.2999999999999995E-2"/>
    </cacheField>
    <cacheField name="Social" numFmtId="0">
      <sharedItems containsString="0" containsBlank="1" containsNumber="1" minValue="4.0000000000000001E-3" maxValue="6.8000000000000005E-2"/>
    </cacheField>
    <cacheField name="Default mode" numFmtId="0">
      <sharedItems containsString="0" containsBlank="1" containsNumber="1" minValue="-4.1000000000000002E-2" maxValue="3.5999999999999997E-2"/>
    </cacheField>
    <cacheField name="Memory" numFmtId="0">
      <sharedItems containsString="0" containsBlank="1" containsNumber="1" minValue="2.7E-2" maxValue="3.9E-2"/>
    </cacheField>
    <cacheField name="Emotions" numFmtId="0">
      <sharedItems containsString="0" containsBlank="1" containsNumber="1" minValue="1.2E-2" maxValue="1.9E-2"/>
    </cacheField>
    <cacheField name="Empathy" numFmtId="0">
      <sharedItems containsString="0" containsBlank="1" containsNumber="1" minValue="-0.01" maxValue="7.0000000000000001E-3"/>
    </cacheField>
    <cacheField name="Anxiety" numFmtId="0">
      <sharedItems containsString="0" containsBlank="1" containsNumber="1" minValue="-1.0999999999999999E-2" maxValue="2.1999999999999999E-2"/>
    </cacheField>
    <cacheField name="Fear" numFmtId="0">
      <sharedItems containsString="0" containsBlank="1" containsNumber="1" minValue="-5.0000000000000001E-3" maxValue="1.2999999999999999E-2"/>
    </cacheField>
    <cacheField name="Imitation" numFmtId="0">
      <sharedItems containsString="0" containsBlank="1" containsNumber="1" minValue="-3.2000000000000001E-2" maxValue="1.7999999999999999E-2"/>
    </cacheField>
    <cacheField name="Reward" numFmtId="0">
      <sharedItems containsString="0" containsBlank="1" containsNumber="1" minValue="-1.2E-2" maxValue="3.3000000000000002E-2"/>
    </cacheField>
    <cacheField name="Attention" numFmtId="0">
      <sharedItems containsString="0" containsBlank="1" containsNumber="1" minValue="-4.0000000000000001E-3" maxValue="2.8000000000000001E-2"/>
    </cacheField>
    <cacheField name="Learning" numFmtId="0">
      <sharedItems containsString="0" containsBlank="1" containsNumber="1" minValue="-1.4999999999999999E-2" maxValue="1.2E-2"/>
    </cacheField>
    <cacheField name="Outcome" numFmtId="0">
      <sharedItems containsString="0" containsBlank="1" containsNumber="1" minValue="-1.4E-2" maxValue="2E-3"/>
    </cacheField>
    <cacheField name="Prediction error" numFmtId="0">
      <sharedItems containsString="0" containsBlank="1" containsNumber="1" minValue="-2.1000000000000001E-2" maxValue="-8.0000000000000002E-3"/>
    </cacheField>
    <cacheField name="Imagine" numFmtId="0">
      <sharedItems containsString="0" containsBlank="1" containsNumber="1" minValue="-2.5000000000000001E-2" maxValue="-1.6E-2"/>
    </cacheField>
    <cacheField name="Calculation" numFmtId="0">
      <sharedItems containsString="0" containsBlank="1" containsNumber="1" minValue="1.9E-2" maxValue="2.900000000000000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2.1000000000000001E-2"/>
    <n v="1.6E-2"/>
    <n v="2.1000000000000001E-2"/>
    <n v="2.3E-2"/>
    <n v="1.4999999999999999E-2"/>
    <n v="1.4999999999999999E-2"/>
    <n v="3.5000000000000003E-2"/>
    <n v="-4.0000000000000001E-3"/>
    <n v="-3.0000000000000001E-3"/>
    <n v="-7.0000000000000001E-3"/>
    <n v="2E-3"/>
    <n v="6.0000000000000001E-3"/>
    <n v="-0.03"/>
    <n v="6.0000000000000001E-3"/>
    <n v="-1.2E-2"/>
    <n v="6.0000000000000001E-3"/>
    <n v="2E-3"/>
    <n v="0"/>
    <n v="2.5000000000000001E-2"/>
    <n v="5.8999999999999997E-2"/>
    <n v="3.1E-2"/>
    <n v="3.4000000000000002E-2"/>
    <n v="2.5999999999999999E-2"/>
  </r>
  <r>
    <x v="1"/>
    <n v="8.0000000000000002E-3"/>
    <n v="1.6E-2"/>
    <n v="1.2999999999999999E-2"/>
    <n v="2E-3"/>
    <n v="4.0000000000000001E-3"/>
    <n v="-8.0000000000000002E-3"/>
    <n v="-3.4000000000000002E-2"/>
    <n v="-3.3000000000000002E-2"/>
    <n v="0"/>
    <n v="-4.0000000000000001E-3"/>
    <n v="6.0000000000000001E-3"/>
    <n v="1.7000000000000001E-2"/>
    <n v="-3.0000000000000001E-3"/>
    <n v="3.3000000000000002E-2"/>
    <n v="-0.01"/>
    <n v="1E-3"/>
    <n v="3.0000000000000001E-3"/>
    <n v="0"/>
    <n v="1.2E-2"/>
    <n v="3.4000000000000002E-2"/>
    <n v="2.1999999999999999E-2"/>
    <n v="1.4999999999999999E-2"/>
    <n v="1.4E-2"/>
  </r>
  <r>
    <x v="2"/>
    <n v="0.02"/>
    <n v="1.9E-2"/>
    <n v="1.7999999999999999E-2"/>
    <n v="1.2E-2"/>
    <n v="3.1E-2"/>
    <n v="8.9999999999999993E-3"/>
    <n v="3.0000000000000001E-3"/>
    <n v="-8.9999999999999993E-3"/>
    <n v="-6.0000000000000001E-3"/>
    <n v="-0.01"/>
    <n v="8.0000000000000002E-3"/>
    <n v="2.1000000000000001E-2"/>
    <n v="-2.7E-2"/>
    <n v="2.4E-2"/>
    <n v="-2.3E-2"/>
    <n v="-2E-3"/>
    <n v="-1E-3"/>
    <n v="0"/>
    <n v="2.1999999999999999E-2"/>
    <n v="0.06"/>
    <n v="3.7999999999999999E-2"/>
    <n v="3.6999999999999998E-2"/>
    <n v="3.1E-2"/>
  </r>
  <r>
    <x v="3"/>
    <n v="-2.1000000000000001E-2"/>
    <n v="-1.6E-2"/>
    <n v="-2.1000000000000001E-2"/>
    <n v="-2.3E-2"/>
    <n v="-1.4999999999999999E-2"/>
    <n v="-1.4999999999999999E-2"/>
    <n v="-3.5000000000000003E-2"/>
    <n v="4.0000000000000001E-3"/>
    <n v="3.0000000000000001E-3"/>
    <n v="7.0000000000000001E-3"/>
    <n v="-2E-3"/>
    <n v="-6.0000000000000001E-3"/>
    <n v="0.03"/>
    <n v="-6.0000000000000001E-3"/>
    <n v="1.2E-2"/>
    <n v="-6.0000000000000001E-3"/>
    <n v="-2E-3"/>
    <n v="0"/>
    <n v="-2.5000000000000001E-2"/>
    <n v="-5.8999999999999997E-2"/>
    <n v="-3.1E-2"/>
    <n v="-3.4000000000000002E-2"/>
    <n v="-2.5999999999999999E-2"/>
  </r>
  <r>
    <x v="4"/>
    <n v="-8.0000000000000002E-3"/>
    <n v="-1.6E-2"/>
    <n v="-1.2999999999999999E-2"/>
    <n v="-2E-3"/>
    <n v="-4.0000000000000001E-3"/>
    <n v="8.0000000000000002E-3"/>
    <n v="3.4000000000000002E-2"/>
    <n v="3.3000000000000002E-2"/>
    <n v="0"/>
    <n v="4.0000000000000001E-3"/>
    <n v="-6.0000000000000001E-3"/>
    <n v="-1.7000000000000001E-2"/>
    <n v="3.0000000000000001E-3"/>
    <n v="-3.3000000000000002E-2"/>
    <n v="0.01"/>
    <n v="-1E-3"/>
    <n v="-3.0000000000000001E-3"/>
    <n v="0"/>
    <n v="-1.2E-2"/>
    <n v="-3.4000000000000002E-2"/>
    <n v="-2.1999999999999999E-2"/>
    <n v="-1.4999999999999999E-2"/>
    <n v="-1.4E-2"/>
  </r>
  <r>
    <x v="5"/>
    <n v="-0.02"/>
    <n v="-1.9E-2"/>
    <n v="-1.7999999999999999E-2"/>
    <n v="-1.2E-2"/>
    <n v="-3.1E-2"/>
    <n v="-8.9999999999999993E-3"/>
    <n v="-3.0000000000000001E-3"/>
    <n v="8.9999999999999993E-3"/>
    <n v="6.0000000000000001E-3"/>
    <n v="0.01"/>
    <n v="-8.0000000000000002E-3"/>
    <n v="-2.1000000000000001E-2"/>
    <n v="2.7E-2"/>
    <n v="-2.4E-2"/>
    <n v="2.3E-2"/>
    <n v="2E-3"/>
    <n v="1E-3"/>
    <n v="0"/>
    <n v="-2.1999999999999999E-2"/>
    <n v="-0.06"/>
    <n v="-3.7999999999999999E-2"/>
    <n v="-3.6999999999999998E-2"/>
    <n v="-3.1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-1.6E-2"/>
    <n v="1E-3"/>
    <n v="0"/>
    <n v="1.4E-2"/>
    <n v="1.6E-2"/>
    <n v="8.0000000000000002E-3"/>
    <n v="1.7999999999999999E-2"/>
    <n v="7.2999999999999995E-2"/>
    <n v="6.8000000000000005E-2"/>
    <n v="3.5999999999999997E-2"/>
    <n v="3.9E-2"/>
    <n v="1.2E-2"/>
    <n v="-0.01"/>
    <n v="-1.0999999999999999E-2"/>
    <n v="-5.0000000000000001E-3"/>
    <n v="-3.2000000000000001E-2"/>
    <n v="-1.2E-2"/>
    <n v="-4.0000000000000001E-3"/>
    <n v="-1.4999999999999999E-2"/>
    <n v="-1.4E-2"/>
    <n v="-1.6E-2"/>
    <n v="-2.5000000000000001E-2"/>
    <n v="2.1000000000000001E-2"/>
  </r>
  <r>
    <x v="1"/>
    <n v="-1.2999999999999999E-2"/>
    <n v="2E-3"/>
    <n v="0"/>
    <n v="1.6E-2"/>
    <n v="0.02"/>
    <n v="-7.0000000000000001E-3"/>
    <n v="2E-3"/>
    <n v="8.0000000000000002E-3"/>
    <n v="4.0000000000000001E-3"/>
    <n v="-4.1000000000000002E-2"/>
    <n v="3.4000000000000002E-2"/>
    <n v="1.7999999999999999E-2"/>
    <n v="7.0000000000000001E-3"/>
    <n v="2.1999999999999999E-2"/>
    <n v="1.2999999999999999E-2"/>
    <n v="1.7999999999999999E-2"/>
    <n v="3.3000000000000002E-2"/>
    <n v="2.8000000000000001E-2"/>
    <n v="1.2E-2"/>
    <n v="2E-3"/>
    <n v="-8.0000000000000002E-3"/>
    <n v="-1.6E-2"/>
    <n v="2.9000000000000001E-2"/>
  </r>
  <r>
    <x v="2"/>
    <n v="-2.5000000000000001E-2"/>
    <n v="-3.0000000000000001E-3"/>
    <n v="0"/>
    <n v="1.9E-2"/>
    <n v="1.4E-2"/>
    <n v="-3.0000000000000001E-3"/>
    <n v="5.0000000000000001E-3"/>
    <n v="4.2000000000000003E-2"/>
    <n v="4.2000000000000003E-2"/>
    <n v="-4.0000000000000001E-3"/>
    <n v="2.7E-2"/>
    <n v="1.9E-2"/>
    <n v="-5.0000000000000001E-3"/>
    <n v="5.0000000000000001E-3"/>
    <n v="0"/>
    <n v="1E-3"/>
    <n v="8.0000000000000002E-3"/>
    <n v="1.9E-2"/>
    <n v="-8.0000000000000002E-3"/>
    <n v="-1.0999999999999999E-2"/>
    <n v="-2.1000000000000001E-2"/>
    <n v="-2.5000000000000001E-2"/>
    <n v="1.9E-2"/>
  </r>
  <r>
    <x v="3"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B7957-6B9B-4FEE-B871-ED155F0E5EE1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24">
    <pivotField axis="axisRow" showAll="0">
      <items count="7">
        <item x="0"/>
        <item h="1" x="3"/>
        <item x="2"/>
        <item h="1" x="5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2"/>
    </i>
    <i>
      <x v="4"/>
    </i>
    <i t="grand">
      <x/>
    </i>
  </rowItems>
  <colItems count="1">
    <i/>
  </colItems>
  <dataFields count="1">
    <dataField name="求和项:Theory of mind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8A2B1-FBA9-4CBA-8B5F-8C303BC85899}" name="数据透视表2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24"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Theory of mind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0FBA-3B27-49EB-82CB-0DF68B0EA795}">
  <dimension ref="A1:B3"/>
  <sheetViews>
    <sheetView workbookViewId="0">
      <selection activeCell="C4" sqref="C4"/>
    </sheetView>
  </sheetViews>
  <sheetFormatPr defaultRowHeight="14.25" x14ac:dyDescent="0.2"/>
  <cols>
    <col min="1" max="1" width="18.25" customWidth="1"/>
    <col min="2" max="2" width="14.875" bestFit="1" customWidth="1"/>
  </cols>
  <sheetData>
    <row r="1" spans="1:2" x14ac:dyDescent="0.2">
      <c r="A1" t="s">
        <v>0</v>
      </c>
      <c r="B1" t="s">
        <v>22</v>
      </c>
    </row>
    <row r="2" spans="1:2" x14ac:dyDescent="0.2">
      <c r="A2" t="s">
        <v>28</v>
      </c>
      <c r="B2">
        <v>1.7999999999999999E-2</v>
      </c>
    </row>
    <row r="3" spans="1:2" x14ac:dyDescent="0.2">
      <c r="A3" t="s">
        <v>27</v>
      </c>
      <c r="B3">
        <v>2.1000000000000001E-2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69D8-A947-49CE-8CD4-AC1DF93F6EA8}">
  <dimension ref="A1:X3"/>
  <sheetViews>
    <sheetView workbookViewId="0">
      <selection sqref="A1:XFD1"/>
    </sheetView>
  </sheetViews>
  <sheetFormatPr defaultRowHeight="14.25" x14ac:dyDescent="0.2"/>
  <cols>
    <col min="1" max="1" width="19.125" bestFit="1" customWidth="1"/>
    <col min="12" max="12" width="14.25" bestFit="1" customWidth="1"/>
  </cols>
  <sheetData>
    <row r="1" spans="1:24" x14ac:dyDescent="0.2">
      <c r="A1" t="s">
        <v>0</v>
      </c>
      <c r="B1" t="s">
        <v>13</v>
      </c>
      <c r="C1" t="s">
        <v>16</v>
      </c>
      <c r="D1" t="s">
        <v>2</v>
      </c>
      <c r="E1" t="s">
        <v>3</v>
      </c>
      <c r="F1" t="s">
        <v>5</v>
      </c>
      <c r="G1" t="s">
        <v>23</v>
      </c>
      <c r="H1" t="s">
        <v>4</v>
      </c>
      <c r="I1" t="s">
        <v>7</v>
      </c>
      <c r="J1" t="s">
        <v>8</v>
      </c>
      <c r="K1" t="s">
        <v>6</v>
      </c>
      <c r="L1" t="s">
        <v>19</v>
      </c>
      <c r="M1" t="s">
        <v>20</v>
      </c>
      <c r="N1" t="s">
        <v>24</v>
      </c>
      <c r="O1" t="s">
        <v>18</v>
      </c>
      <c r="P1" t="s">
        <v>9</v>
      </c>
      <c r="Q1" t="s">
        <v>10</v>
      </c>
      <c r="R1" t="s">
        <v>11</v>
      </c>
      <c r="S1" t="s">
        <v>21</v>
      </c>
      <c r="T1" t="s">
        <v>12</v>
      </c>
      <c r="U1" t="s">
        <v>17</v>
      </c>
      <c r="V1" t="s">
        <v>14</v>
      </c>
      <c r="W1" t="s">
        <v>15</v>
      </c>
      <c r="X1" t="s">
        <v>1</v>
      </c>
    </row>
    <row r="2" spans="1:24" ht="18" customHeight="1" x14ac:dyDescent="0.2">
      <c r="A2" t="s">
        <v>25</v>
      </c>
      <c r="B2">
        <v>1E-3</v>
      </c>
      <c r="C2">
        <v>-4.0000000000000001E-3</v>
      </c>
      <c r="D2">
        <v>-3.0000000000000001E-3</v>
      </c>
      <c r="E2">
        <v>0</v>
      </c>
      <c r="F2">
        <v>-5.0000000000000001E-3</v>
      </c>
      <c r="G2">
        <v>-7.1999999999999995E-2</v>
      </c>
      <c r="H2">
        <v>7.0000000000000001E-3</v>
      </c>
      <c r="I2">
        <v>-4.0000000000000001E-3</v>
      </c>
      <c r="J2">
        <v>2E-3</v>
      </c>
      <c r="K2">
        <v>-8.6999999999999994E-2</v>
      </c>
      <c r="L2">
        <v>-2.7E-2</v>
      </c>
      <c r="M2">
        <v>-3.3000000000000002E-2</v>
      </c>
      <c r="N2">
        <v>-7.0000000000000001E-3</v>
      </c>
      <c r="O2">
        <v>-1.7000000000000001E-2</v>
      </c>
      <c r="P2">
        <v>5.0000000000000001E-3</v>
      </c>
      <c r="Q2">
        <v>-4.0000000000000001E-3</v>
      </c>
      <c r="R2">
        <v>0.02</v>
      </c>
      <c r="S2">
        <v>-5.0000000000000001E-3</v>
      </c>
      <c r="T2">
        <v>2.3E-2</v>
      </c>
      <c r="U2">
        <v>0.01</v>
      </c>
      <c r="V2">
        <v>5.0000000000000001E-3</v>
      </c>
      <c r="W2">
        <v>4.0000000000000001E-3</v>
      </c>
      <c r="X2">
        <v>8.0000000000000002E-3</v>
      </c>
    </row>
    <row r="3" spans="1:24" ht="18" customHeight="1" x14ac:dyDescent="0.2">
      <c r="A3" t="s">
        <v>26</v>
      </c>
      <c r="B3">
        <v>3.7999999999999999E-2</v>
      </c>
      <c r="C3">
        <v>-2E-3</v>
      </c>
      <c r="D3">
        <v>3.0000000000000001E-3</v>
      </c>
      <c r="E3">
        <v>0</v>
      </c>
      <c r="F3">
        <v>-1.4999999999999999E-2</v>
      </c>
      <c r="G3">
        <v>-4.9000000000000002E-2</v>
      </c>
      <c r="H3">
        <v>-1.9E-2</v>
      </c>
      <c r="I3">
        <v>-3.1E-2</v>
      </c>
      <c r="J3">
        <v>-1.7999999999999999E-2</v>
      </c>
      <c r="K3">
        <v>-9.9000000000000005E-2</v>
      </c>
      <c r="L3">
        <v>-1.2999999999999999E-2</v>
      </c>
      <c r="M3">
        <v>-3.4000000000000002E-2</v>
      </c>
      <c r="N3">
        <v>-4.0000000000000001E-3</v>
      </c>
      <c r="O3">
        <v>-1.7999999999999999E-2</v>
      </c>
      <c r="P3">
        <v>8.0000000000000002E-3</v>
      </c>
      <c r="Q3">
        <v>6.0000000000000001E-3</v>
      </c>
      <c r="R3">
        <v>6.8000000000000005E-2</v>
      </c>
      <c r="S3">
        <v>-2.4E-2</v>
      </c>
      <c r="T3">
        <v>4.2999999999999997E-2</v>
      </c>
      <c r="U3">
        <v>2.5000000000000001E-2</v>
      </c>
      <c r="V3">
        <v>8.0000000000000002E-3</v>
      </c>
      <c r="W3">
        <v>3.1E-2</v>
      </c>
      <c r="X3">
        <v>2.3E-2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A679-6132-4C82-A779-CCBCBDF66068}">
  <dimension ref="A1:X3"/>
  <sheetViews>
    <sheetView workbookViewId="0">
      <selection activeCell="G9" sqref="G9"/>
    </sheetView>
  </sheetViews>
  <sheetFormatPr defaultRowHeight="14.25" x14ac:dyDescent="0.2"/>
  <cols>
    <col min="1" max="1" width="14" bestFit="1" customWidth="1"/>
    <col min="2" max="2" width="11" bestFit="1" customWidth="1"/>
    <col min="3" max="3" width="9.25" bestFit="1" customWidth="1"/>
    <col min="4" max="4" width="14.25" bestFit="1" customWidth="1"/>
    <col min="5" max="5" width="8.125" bestFit="1" customWidth="1"/>
    <col min="6" max="6" width="10.375" bestFit="1" customWidth="1"/>
    <col min="7" max="7" width="8.5" bestFit="1" customWidth="1"/>
    <col min="8" max="8" width="7" bestFit="1" customWidth="1"/>
    <col min="9" max="9" width="8.375" bestFit="1" customWidth="1"/>
    <col min="10" max="10" width="7.5" bestFit="1" customWidth="1"/>
    <col min="11" max="11" width="16" bestFit="1" customWidth="1"/>
    <col min="12" max="12" width="9" bestFit="1" customWidth="1"/>
    <col min="13" max="13" width="9.125" bestFit="1" customWidth="1"/>
    <col min="14" max="14" width="8.75" bestFit="1" customWidth="1"/>
    <col min="15" max="15" width="6.5" bestFit="1" customWidth="1"/>
    <col min="16" max="16" width="9.125" bestFit="1" customWidth="1"/>
    <col min="17" max="17" width="8.75" bestFit="1" customWidth="1"/>
    <col min="18" max="19" width="7.5" bestFit="1" customWidth="1"/>
    <col min="20" max="20" width="12.875" bestFit="1" customWidth="1"/>
    <col min="21" max="21" width="7.75" bestFit="1" customWidth="1"/>
    <col min="22" max="22" width="9.125" bestFit="1" customWidth="1"/>
    <col min="23" max="23" width="14.625" bestFit="1" customWidth="1"/>
    <col min="24" max="24" width="8.125" bestFit="1" customWidth="1"/>
  </cols>
  <sheetData>
    <row r="1" spans="1:24" x14ac:dyDescent="0.2">
      <c r="A1" t="s">
        <v>0</v>
      </c>
      <c r="B1" t="s">
        <v>13</v>
      </c>
      <c r="C1" t="s">
        <v>2</v>
      </c>
      <c r="D1" t="s">
        <v>19</v>
      </c>
      <c r="E1" t="s">
        <v>3</v>
      </c>
      <c r="F1" t="s">
        <v>23</v>
      </c>
      <c r="G1" t="s">
        <v>14</v>
      </c>
      <c r="H1" t="s">
        <v>16</v>
      </c>
      <c r="I1" t="s">
        <v>5</v>
      </c>
      <c r="J1" t="s">
        <v>4</v>
      </c>
      <c r="K1" t="s">
        <v>7</v>
      </c>
      <c r="L1" t="s">
        <v>8</v>
      </c>
      <c r="M1" t="s">
        <v>6</v>
      </c>
      <c r="N1" t="s">
        <v>21</v>
      </c>
      <c r="O1" t="s">
        <v>20</v>
      </c>
      <c r="P1" t="s">
        <v>24</v>
      </c>
      <c r="Q1" t="s">
        <v>18</v>
      </c>
      <c r="R1" t="s">
        <v>9</v>
      </c>
      <c r="S1" t="s">
        <v>10</v>
      </c>
      <c r="T1" t="s">
        <v>11</v>
      </c>
      <c r="U1" t="s">
        <v>12</v>
      </c>
      <c r="V1" t="s">
        <v>17</v>
      </c>
      <c r="W1" t="s">
        <v>15</v>
      </c>
      <c r="X1" t="s">
        <v>1</v>
      </c>
    </row>
    <row r="2" spans="1:24" x14ac:dyDescent="0.2">
      <c r="A2" t="s">
        <v>31</v>
      </c>
      <c r="B2">
        <f>-Ascertain_NoUse!B2</f>
        <v>-1E-3</v>
      </c>
      <c r="C2">
        <f>-Ascertain_NoUse!D2</f>
        <v>3.0000000000000001E-3</v>
      </c>
      <c r="D2">
        <f>-Ascertain_NoUse!L2</f>
        <v>2.7E-2</v>
      </c>
      <c r="E2">
        <f>-Ascertain_NoUse!E2</f>
        <v>0</v>
      </c>
      <c r="F2">
        <f>-Ascertain_NoUse!G2</f>
        <v>7.1999999999999995E-2</v>
      </c>
      <c r="G2">
        <f>-Ascertain_NoUse!V2</f>
        <v>-5.0000000000000001E-3</v>
      </c>
      <c r="H2">
        <f>-Ascertain_NoUse!C2</f>
        <v>4.0000000000000001E-3</v>
      </c>
      <c r="I2">
        <f>-Ascertain_NoUse!F2</f>
        <v>5.0000000000000001E-3</v>
      </c>
      <c r="J2">
        <f>-Ascertain_NoUse!H2</f>
        <v>-7.0000000000000001E-3</v>
      </c>
      <c r="K2">
        <f>-Ascertain_NoUse!I2</f>
        <v>4.0000000000000001E-3</v>
      </c>
      <c r="L2">
        <f>-Ascertain_NoUse!J2</f>
        <v>-2E-3</v>
      </c>
      <c r="M2">
        <f>-Ascertain_NoUse!K2</f>
        <v>8.6999999999999994E-2</v>
      </c>
      <c r="N2">
        <f>-Ascertain_NoUse!S2</f>
        <v>5.0000000000000001E-3</v>
      </c>
      <c r="O2">
        <f>-Ascertain_NoUse!M2</f>
        <v>3.3000000000000002E-2</v>
      </c>
      <c r="P2">
        <f>-Ascertain_NoUse!N2</f>
        <v>7.0000000000000001E-3</v>
      </c>
      <c r="Q2">
        <f>-Ascertain_NoUse!O2</f>
        <v>1.7000000000000001E-2</v>
      </c>
      <c r="R2">
        <f>-Ascertain_NoUse!P2</f>
        <v>-5.0000000000000001E-3</v>
      </c>
      <c r="S2">
        <f>-Ascertain_NoUse!Q2</f>
        <v>4.0000000000000001E-3</v>
      </c>
      <c r="T2">
        <f>-Ascertain_NoUse!R2</f>
        <v>-0.02</v>
      </c>
      <c r="U2">
        <f>-Ascertain_NoUse!T2</f>
        <v>-2.3E-2</v>
      </c>
      <c r="V2">
        <f>-Ascertain_NoUse!U2</f>
        <v>-0.01</v>
      </c>
      <c r="W2">
        <f>-Ascertain_NoUse!W2</f>
        <v>-4.0000000000000001E-3</v>
      </c>
      <c r="X2">
        <f>-Ascertain_NoUse!X2</f>
        <v>-8.0000000000000002E-3</v>
      </c>
    </row>
    <row r="3" spans="1:24" x14ac:dyDescent="0.2">
      <c r="A3" t="s">
        <v>30</v>
      </c>
      <c r="B3">
        <f>-Ascertain_NoUse!B3</f>
        <v>-3.7999999999999999E-2</v>
      </c>
      <c r="C3">
        <f>-Ascertain_NoUse!D3</f>
        <v>-3.0000000000000001E-3</v>
      </c>
      <c r="D3">
        <f>-Ascertain_NoUse!L3</f>
        <v>1.2999999999999999E-2</v>
      </c>
      <c r="E3">
        <f>-Ascertain_NoUse!E3</f>
        <v>0</v>
      </c>
      <c r="F3">
        <f>-Ascertain_NoUse!G3</f>
        <v>4.9000000000000002E-2</v>
      </c>
      <c r="G3">
        <f>-Ascertain_NoUse!V3</f>
        <v>-8.0000000000000002E-3</v>
      </c>
      <c r="H3">
        <f>-Ascertain_NoUse!C3</f>
        <v>2E-3</v>
      </c>
      <c r="I3">
        <f>-Ascertain_NoUse!F3</f>
        <v>1.4999999999999999E-2</v>
      </c>
      <c r="J3">
        <f>-Ascertain_NoUse!H3</f>
        <v>1.9E-2</v>
      </c>
      <c r="K3">
        <f>-Ascertain_NoUse!I3</f>
        <v>3.1E-2</v>
      </c>
      <c r="L3">
        <f>-Ascertain_NoUse!J3</f>
        <v>1.7999999999999999E-2</v>
      </c>
      <c r="M3">
        <f>-Ascertain_NoUse!K3</f>
        <v>9.9000000000000005E-2</v>
      </c>
      <c r="N3">
        <f>-Ascertain_NoUse!S3</f>
        <v>2.4E-2</v>
      </c>
      <c r="O3">
        <f>-Ascertain_NoUse!M3</f>
        <v>3.4000000000000002E-2</v>
      </c>
      <c r="P3">
        <f>-Ascertain_NoUse!N3</f>
        <v>4.0000000000000001E-3</v>
      </c>
      <c r="Q3">
        <f>-Ascertain_NoUse!O3</f>
        <v>1.7999999999999999E-2</v>
      </c>
      <c r="R3">
        <f>-Ascertain_NoUse!P3</f>
        <v>-8.0000000000000002E-3</v>
      </c>
      <c r="S3">
        <f>-Ascertain_NoUse!Q3</f>
        <v>-6.0000000000000001E-3</v>
      </c>
      <c r="T3">
        <f>-Ascertain_NoUse!R3</f>
        <v>-6.8000000000000005E-2</v>
      </c>
      <c r="U3">
        <f>-Ascertain_NoUse!T3</f>
        <v>-4.2999999999999997E-2</v>
      </c>
      <c r="V3">
        <f>-Ascertain_NoUse!U3</f>
        <v>-2.5000000000000001E-2</v>
      </c>
      <c r="W3">
        <f>-Ascertain_NoUse!W3</f>
        <v>-3.1E-2</v>
      </c>
      <c r="X3">
        <f>-Ascertain_NoUse!X3</f>
        <v>-2.3E-2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73CE-D532-4C7A-9307-BA5E103EEA64}">
  <dimension ref="A1:X3"/>
  <sheetViews>
    <sheetView workbookViewId="0">
      <selection activeCell="Q3" sqref="Q3"/>
    </sheetView>
  </sheetViews>
  <sheetFormatPr defaultRowHeight="14.25" x14ac:dyDescent="0.2"/>
  <cols>
    <col min="1" max="1" width="18.25" customWidth="1"/>
    <col min="2" max="2" width="10.5" bestFit="1" customWidth="1"/>
    <col min="7" max="7" width="9.5" bestFit="1" customWidth="1"/>
    <col min="9" max="9" width="15.125" bestFit="1" customWidth="1"/>
    <col min="12" max="12" width="13.375" bestFit="1" customWidth="1"/>
    <col min="18" max="18" width="12.125" bestFit="1" customWidth="1"/>
    <col min="23" max="23" width="13.625" bestFit="1" customWidth="1"/>
  </cols>
  <sheetData>
    <row r="1" spans="1:24" x14ac:dyDescent="0.2">
      <c r="A1" t="s">
        <v>0</v>
      </c>
      <c r="B1" t="s">
        <v>13</v>
      </c>
      <c r="C1" t="s">
        <v>16</v>
      </c>
      <c r="D1" t="s">
        <v>2</v>
      </c>
      <c r="E1" t="s">
        <v>3</v>
      </c>
      <c r="F1" t="s">
        <v>5</v>
      </c>
      <c r="G1" t="s">
        <v>23</v>
      </c>
      <c r="H1" t="s">
        <v>4</v>
      </c>
      <c r="I1" t="s">
        <v>7</v>
      </c>
      <c r="J1" t="s">
        <v>8</v>
      </c>
      <c r="K1" t="s">
        <v>6</v>
      </c>
      <c r="L1" t="s">
        <v>19</v>
      </c>
      <c r="M1" t="s">
        <v>20</v>
      </c>
      <c r="N1" t="s">
        <v>24</v>
      </c>
      <c r="O1" t="s">
        <v>18</v>
      </c>
      <c r="P1" t="s">
        <v>9</v>
      </c>
      <c r="Q1" t="s">
        <v>10</v>
      </c>
      <c r="R1" t="s">
        <v>11</v>
      </c>
      <c r="S1" t="s">
        <v>21</v>
      </c>
      <c r="T1" t="s">
        <v>12</v>
      </c>
      <c r="U1" t="s">
        <v>17</v>
      </c>
      <c r="V1" t="s">
        <v>14</v>
      </c>
      <c r="W1" t="s">
        <v>15</v>
      </c>
      <c r="X1" t="s">
        <v>1</v>
      </c>
    </row>
    <row r="2" spans="1:24" x14ac:dyDescent="0.2">
      <c r="A2" t="s">
        <v>36</v>
      </c>
      <c r="B2">
        <v>0.02</v>
      </c>
      <c r="C2">
        <v>1.9E-2</v>
      </c>
      <c r="D2">
        <v>8.0000000000000002E-3</v>
      </c>
      <c r="E2">
        <v>0</v>
      </c>
      <c r="F2">
        <v>1.7999999999999999E-2</v>
      </c>
      <c r="G2">
        <v>2.1000000000000001E-2</v>
      </c>
      <c r="H2">
        <v>3.0000000000000001E-3</v>
      </c>
      <c r="I2">
        <v>-6.0000000000000001E-3</v>
      </c>
      <c r="J2">
        <v>-0.01</v>
      </c>
      <c r="K2">
        <v>-8.9999999999999993E-3</v>
      </c>
      <c r="L2">
        <v>-2.7E-2</v>
      </c>
      <c r="M2">
        <v>-2.3E-2</v>
      </c>
      <c r="N2">
        <v>-2E-3</v>
      </c>
      <c r="O2">
        <v>-1E-3</v>
      </c>
      <c r="P2">
        <v>2.1999999999999999E-2</v>
      </c>
      <c r="Q2">
        <v>1.2E-2</v>
      </c>
      <c r="R2">
        <v>2.4E-2</v>
      </c>
      <c r="S2">
        <v>3.1E-2</v>
      </c>
      <c r="T2">
        <v>0.06</v>
      </c>
      <c r="U2">
        <v>3.7999999999999999E-2</v>
      </c>
      <c r="V2">
        <v>3.6999999999999998E-2</v>
      </c>
      <c r="W2">
        <v>3.1E-2</v>
      </c>
      <c r="X2">
        <v>8.9999999999999993E-3</v>
      </c>
    </row>
    <row r="3" spans="1:24" x14ac:dyDescent="0.2">
      <c r="A3" t="s">
        <v>29</v>
      </c>
      <c r="B3">
        <v>-2.5000000000000001E-2</v>
      </c>
      <c r="C3">
        <v>-3.0000000000000001E-3</v>
      </c>
      <c r="D3">
        <v>-3.0000000000000001E-3</v>
      </c>
      <c r="E3">
        <v>0</v>
      </c>
      <c r="F3">
        <v>2.7E-2</v>
      </c>
      <c r="G3">
        <v>1.9E-2</v>
      </c>
      <c r="H3">
        <v>1.9E-2</v>
      </c>
      <c r="I3">
        <v>1.4E-2</v>
      </c>
      <c r="J3">
        <v>5.0000000000000001E-3</v>
      </c>
      <c r="K3">
        <v>1.9E-2</v>
      </c>
      <c r="L3">
        <v>4.2000000000000003E-2</v>
      </c>
      <c r="M3">
        <v>4.2000000000000003E-2</v>
      </c>
      <c r="N3">
        <v>1.9E-2</v>
      </c>
      <c r="O3">
        <v>-5.0000000000000001E-3</v>
      </c>
      <c r="P3">
        <v>5.0000000000000001E-3</v>
      </c>
      <c r="Q3">
        <v>0</v>
      </c>
      <c r="R3">
        <v>-4.0000000000000001E-3</v>
      </c>
      <c r="S3">
        <v>1E-3</v>
      </c>
      <c r="T3">
        <v>8.0000000000000002E-3</v>
      </c>
      <c r="U3">
        <v>-1.0999999999999999E-2</v>
      </c>
      <c r="V3">
        <v>-8.0000000000000002E-3</v>
      </c>
      <c r="W3">
        <v>-2.1000000000000001E-2</v>
      </c>
      <c r="X3">
        <v>-2.5000000000000001E-2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121F-7039-42BF-BF49-9741FB4609D6}">
  <dimension ref="A1:B5"/>
  <sheetViews>
    <sheetView workbookViewId="0"/>
  </sheetViews>
  <sheetFormatPr defaultRowHeight="14.25" x14ac:dyDescent="0.2"/>
  <cols>
    <col min="1" max="1" width="19.875" bestFit="1" customWidth="1"/>
    <col min="2" max="2" width="21.875" bestFit="1" customWidth="1"/>
  </cols>
  <sheetData>
    <row r="1" spans="1:2" x14ac:dyDescent="0.2">
      <c r="A1" s="1" t="s">
        <v>40</v>
      </c>
      <c r="B1" t="s">
        <v>45</v>
      </c>
    </row>
    <row r="2" spans="1:2" x14ac:dyDescent="0.2">
      <c r="A2" s="2" t="s">
        <v>41</v>
      </c>
      <c r="B2">
        <v>-0.03</v>
      </c>
    </row>
    <row r="3" spans="1:2" x14ac:dyDescent="0.2">
      <c r="A3" s="2" t="s">
        <v>42</v>
      </c>
      <c r="B3">
        <v>-2.7E-2</v>
      </c>
    </row>
    <row r="4" spans="1:2" x14ac:dyDescent="0.2">
      <c r="A4" s="2" t="s">
        <v>43</v>
      </c>
      <c r="B4">
        <v>-3.0000000000000001E-3</v>
      </c>
    </row>
    <row r="5" spans="1:2" x14ac:dyDescent="0.2">
      <c r="A5" s="2" t="s">
        <v>44</v>
      </c>
      <c r="B5">
        <v>-0.06</v>
      </c>
    </row>
  </sheetData>
  <phoneticPr fontId="1" type="noConversion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04ED-63CC-49DF-B119-8ACD8F12250D}">
  <dimension ref="A1:X7"/>
  <sheetViews>
    <sheetView tabSelected="1" workbookViewId="0">
      <selection activeCell="L18" sqref="L18"/>
    </sheetView>
  </sheetViews>
  <sheetFormatPr defaultRowHeight="14.25" x14ac:dyDescent="0.2"/>
  <cols>
    <col min="1" max="1" width="26.875" bestFit="1" customWidth="1"/>
    <col min="2" max="2" width="11" bestFit="1" customWidth="1"/>
    <col min="3" max="3" width="7" bestFit="1" customWidth="1"/>
    <col min="4" max="4" width="8.375" bestFit="1" customWidth="1"/>
    <col min="5" max="5" width="5" bestFit="1" customWidth="1"/>
    <col min="6" max="6" width="8.75" bestFit="1" customWidth="1"/>
    <col min="7" max="7" width="8.125" bestFit="1" customWidth="1"/>
    <col min="8" max="8" width="7.5" bestFit="1" customWidth="1"/>
    <col min="9" max="9" width="9.125" bestFit="1" customWidth="1"/>
    <col min="10" max="10" width="16" bestFit="1" customWidth="1"/>
    <col min="12" max="12" width="9.25" bestFit="1" customWidth="1"/>
    <col min="13" max="13" width="10.375" bestFit="1" customWidth="1"/>
    <col min="14" max="14" width="14.25" bestFit="1" customWidth="1"/>
    <col min="15" max="15" width="12.875" bestFit="1" customWidth="1"/>
    <col min="16" max="16" width="6.25" bestFit="1" customWidth="1"/>
    <col min="17" max="17" width="9.125" bestFit="1" customWidth="1"/>
    <col min="18" max="18" width="8.75" bestFit="1" customWidth="1"/>
    <col min="19" max="19" width="8.125" bestFit="1" customWidth="1"/>
    <col min="20" max="20" width="7.5" bestFit="1" customWidth="1"/>
    <col min="21" max="21" width="7.75" bestFit="1" customWidth="1"/>
    <col min="22" max="22" width="9.125" bestFit="1" customWidth="1"/>
    <col min="23" max="23" width="8.5" bestFit="1" customWidth="1"/>
    <col min="24" max="24" width="14.625" bestFit="1" customWidth="1"/>
  </cols>
  <sheetData>
    <row r="1" spans="1:24" x14ac:dyDescent="0.2">
      <c r="A1" t="s">
        <v>0</v>
      </c>
      <c r="B1" t="s">
        <v>13</v>
      </c>
      <c r="C1" t="s">
        <v>16</v>
      </c>
      <c r="D1" t="s">
        <v>5</v>
      </c>
      <c r="E1" t="s">
        <v>10</v>
      </c>
      <c r="F1" t="s">
        <v>21</v>
      </c>
      <c r="G1" t="s">
        <v>1</v>
      </c>
      <c r="H1" t="s">
        <v>4</v>
      </c>
      <c r="I1" t="s">
        <v>6</v>
      </c>
      <c r="J1" t="s">
        <v>7</v>
      </c>
      <c r="K1" t="s">
        <v>8</v>
      </c>
      <c r="L1" t="s">
        <v>2</v>
      </c>
      <c r="M1" t="s">
        <v>23</v>
      </c>
      <c r="N1" t="s">
        <v>19</v>
      </c>
      <c r="O1" t="s">
        <v>11</v>
      </c>
      <c r="P1" t="s">
        <v>20</v>
      </c>
      <c r="Q1" t="s">
        <v>24</v>
      </c>
      <c r="R1" t="s">
        <v>18</v>
      </c>
      <c r="S1" t="s">
        <v>3</v>
      </c>
      <c r="T1" t="s">
        <v>9</v>
      </c>
      <c r="U1" t="s">
        <v>12</v>
      </c>
      <c r="V1" t="s">
        <v>17</v>
      </c>
      <c r="W1" t="s">
        <v>14</v>
      </c>
      <c r="X1" t="s">
        <v>15</v>
      </c>
    </row>
    <row r="2" spans="1:24" x14ac:dyDescent="0.2">
      <c r="A2" t="s">
        <v>32</v>
      </c>
      <c r="B2">
        <v>2.1000000000000001E-2</v>
      </c>
      <c r="C2">
        <v>1.6E-2</v>
      </c>
      <c r="D2">
        <v>2.1000000000000001E-2</v>
      </c>
      <c r="E2">
        <v>2.3E-2</v>
      </c>
      <c r="F2">
        <v>1.4999999999999999E-2</v>
      </c>
      <c r="G2">
        <v>1.4999999999999999E-2</v>
      </c>
      <c r="H2">
        <v>3.5000000000000003E-2</v>
      </c>
      <c r="I2">
        <v>-4.0000000000000001E-3</v>
      </c>
      <c r="J2">
        <v>-3.0000000000000001E-3</v>
      </c>
      <c r="K2">
        <v>-7.0000000000000001E-3</v>
      </c>
      <c r="L2">
        <v>2E-3</v>
      </c>
      <c r="M2">
        <v>6.0000000000000001E-3</v>
      </c>
      <c r="N2">
        <v>-0.03</v>
      </c>
      <c r="O2">
        <v>6.0000000000000001E-3</v>
      </c>
      <c r="P2">
        <v>-1.2E-2</v>
      </c>
      <c r="Q2">
        <v>6.0000000000000001E-3</v>
      </c>
      <c r="R2">
        <v>2E-3</v>
      </c>
      <c r="S2">
        <v>0</v>
      </c>
      <c r="T2">
        <v>2.5000000000000001E-2</v>
      </c>
      <c r="U2">
        <v>5.8999999999999997E-2</v>
      </c>
      <c r="V2">
        <v>3.1E-2</v>
      </c>
      <c r="W2">
        <v>3.4000000000000002E-2</v>
      </c>
      <c r="X2">
        <v>2.5999999999999999E-2</v>
      </c>
    </row>
    <row r="3" spans="1:24" x14ac:dyDescent="0.2">
      <c r="A3" t="s">
        <v>33</v>
      </c>
      <c r="B3">
        <v>8.0000000000000002E-3</v>
      </c>
      <c r="C3">
        <v>1.6E-2</v>
      </c>
      <c r="D3">
        <v>1.2999999999999999E-2</v>
      </c>
      <c r="E3">
        <v>2E-3</v>
      </c>
      <c r="F3">
        <v>4.0000000000000001E-3</v>
      </c>
      <c r="G3">
        <v>-8.0000000000000002E-3</v>
      </c>
      <c r="H3">
        <v>-3.4000000000000002E-2</v>
      </c>
      <c r="I3">
        <v>-3.3000000000000002E-2</v>
      </c>
      <c r="J3">
        <v>0</v>
      </c>
      <c r="K3">
        <v>-4.0000000000000001E-3</v>
      </c>
      <c r="L3">
        <v>6.0000000000000001E-3</v>
      </c>
      <c r="M3">
        <v>1.7000000000000001E-2</v>
      </c>
      <c r="N3">
        <v>-3.0000000000000001E-3</v>
      </c>
      <c r="O3">
        <v>3.3000000000000002E-2</v>
      </c>
      <c r="P3">
        <v>-0.01</v>
      </c>
      <c r="Q3">
        <v>1E-3</v>
      </c>
      <c r="R3">
        <v>3.0000000000000001E-3</v>
      </c>
      <c r="S3">
        <v>0</v>
      </c>
      <c r="T3">
        <v>1.2E-2</v>
      </c>
      <c r="U3">
        <v>3.4000000000000002E-2</v>
      </c>
      <c r="V3">
        <v>2.1999999999999999E-2</v>
      </c>
      <c r="W3">
        <v>1.4999999999999999E-2</v>
      </c>
      <c r="X3">
        <v>1.4E-2</v>
      </c>
    </row>
    <row r="4" spans="1:24" x14ac:dyDescent="0.2">
      <c r="A4" t="s">
        <v>36</v>
      </c>
      <c r="B4">
        <v>0.02</v>
      </c>
      <c r="C4">
        <v>1.9E-2</v>
      </c>
      <c r="D4">
        <v>1.7999999999999999E-2</v>
      </c>
      <c r="E4">
        <v>1.2E-2</v>
      </c>
      <c r="F4">
        <v>3.1E-2</v>
      </c>
      <c r="G4">
        <v>8.9999999999999993E-3</v>
      </c>
      <c r="H4">
        <v>3.0000000000000001E-3</v>
      </c>
      <c r="I4">
        <v>-8.9999999999999993E-3</v>
      </c>
      <c r="J4">
        <v>-6.0000000000000001E-3</v>
      </c>
      <c r="K4">
        <v>-0.01</v>
      </c>
      <c r="L4">
        <v>8.0000000000000002E-3</v>
      </c>
      <c r="M4">
        <v>2.1000000000000001E-2</v>
      </c>
      <c r="N4">
        <v>-2.7E-2</v>
      </c>
      <c r="O4">
        <v>2.4E-2</v>
      </c>
      <c r="P4">
        <v>-2.3E-2</v>
      </c>
      <c r="Q4">
        <v>-2E-3</v>
      </c>
      <c r="R4">
        <v>-1E-3</v>
      </c>
      <c r="S4">
        <v>0</v>
      </c>
      <c r="T4">
        <v>2.1999999999999999E-2</v>
      </c>
      <c r="U4">
        <v>0.06</v>
      </c>
      <c r="V4">
        <v>3.7999999999999999E-2</v>
      </c>
      <c r="W4">
        <v>3.6999999999999998E-2</v>
      </c>
      <c r="X4">
        <v>3.1E-2</v>
      </c>
    </row>
    <row r="5" spans="1:24" x14ac:dyDescent="0.2">
      <c r="A5" t="s">
        <v>37</v>
      </c>
      <c r="B5">
        <f>-B2</f>
        <v>-2.1000000000000001E-2</v>
      </c>
      <c r="C5">
        <f t="shared" ref="C5:X7" si="0">-C2</f>
        <v>-1.6E-2</v>
      </c>
      <c r="D5">
        <f t="shared" si="0"/>
        <v>-2.1000000000000001E-2</v>
      </c>
      <c r="E5">
        <f t="shared" ref="E5:G7" si="1">-E2</f>
        <v>-2.3E-2</v>
      </c>
      <c r="F5">
        <f t="shared" si="1"/>
        <v>-1.4999999999999999E-2</v>
      </c>
      <c r="G5">
        <f t="shared" si="1"/>
        <v>-1.4999999999999999E-2</v>
      </c>
      <c r="H5">
        <f t="shared" si="0"/>
        <v>-3.5000000000000003E-2</v>
      </c>
      <c r="I5">
        <f>-I2</f>
        <v>4.0000000000000001E-3</v>
      </c>
      <c r="J5">
        <f t="shared" si="0"/>
        <v>3.0000000000000001E-3</v>
      </c>
      <c r="K5">
        <f t="shared" si="0"/>
        <v>7.0000000000000001E-3</v>
      </c>
      <c r="L5">
        <f t="shared" ref="L5:M7" si="2">-L2</f>
        <v>-2E-3</v>
      </c>
      <c r="M5">
        <f t="shared" si="2"/>
        <v>-6.0000000000000001E-3</v>
      </c>
      <c r="N5">
        <f t="shared" si="0"/>
        <v>0.03</v>
      </c>
      <c r="O5">
        <f>-O2</f>
        <v>-6.0000000000000001E-3</v>
      </c>
      <c r="P5">
        <f t="shared" si="0"/>
        <v>1.2E-2</v>
      </c>
      <c r="Q5">
        <f t="shared" si="0"/>
        <v>-6.0000000000000001E-3</v>
      </c>
      <c r="R5">
        <f t="shared" si="0"/>
        <v>-2E-3</v>
      </c>
      <c r="S5">
        <f>-S2</f>
        <v>0</v>
      </c>
      <c r="T5">
        <f t="shared" si="0"/>
        <v>-2.5000000000000001E-2</v>
      </c>
      <c r="U5">
        <f t="shared" si="0"/>
        <v>-5.8999999999999997E-2</v>
      </c>
      <c r="V5">
        <f t="shared" si="0"/>
        <v>-3.1E-2</v>
      </c>
      <c r="W5">
        <f t="shared" si="0"/>
        <v>-3.4000000000000002E-2</v>
      </c>
      <c r="X5">
        <f t="shared" si="0"/>
        <v>-2.5999999999999999E-2</v>
      </c>
    </row>
    <row r="6" spans="1:24" x14ac:dyDescent="0.2">
      <c r="A6" t="s">
        <v>38</v>
      </c>
      <c r="B6">
        <f t="shared" ref="B6:T7" si="3">-B3</f>
        <v>-8.0000000000000002E-3</v>
      </c>
      <c r="C6">
        <f t="shared" si="3"/>
        <v>-1.6E-2</v>
      </c>
      <c r="D6">
        <f t="shared" si="3"/>
        <v>-1.2999999999999999E-2</v>
      </c>
      <c r="E6">
        <f t="shared" si="1"/>
        <v>-2E-3</v>
      </c>
      <c r="F6">
        <f t="shared" si="1"/>
        <v>-4.0000000000000001E-3</v>
      </c>
      <c r="G6">
        <f t="shared" si="1"/>
        <v>8.0000000000000002E-3</v>
      </c>
      <c r="H6">
        <f t="shared" si="3"/>
        <v>3.4000000000000002E-2</v>
      </c>
      <c r="I6">
        <f>-I3</f>
        <v>3.3000000000000002E-2</v>
      </c>
      <c r="J6">
        <f t="shared" si="3"/>
        <v>0</v>
      </c>
      <c r="K6">
        <f t="shared" si="3"/>
        <v>4.0000000000000001E-3</v>
      </c>
      <c r="L6">
        <f t="shared" si="2"/>
        <v>-6.0000000000000001E-3</v>
      </c>
      <c r="M6">
        <f t="shared" si="2"/>
        <v>-1.7000000000000001E-2</v>
      </c>
      <c r="N6">
        <f t="shared" si="3"/>
        <v>3.0000000000000001E-3</v>
      </c>
      <c r="O6">
        <f>-O3</f>
        <v>-3.3000000000000002E-2</v>
      </c>
      <c r="P6">
        <f t="shared" si="3"/>
        <v>0.01</v>
      </c>
      <c r="Q6">
        <f t="shared" si="3"/>
        <v>-1E-3</v>
      </c>
      <c r="R6">
        <f t="shared" si="3"/>
        <v>-3.0000000000000001E-3</v>
      </c>
      <c r="S6">
        <f>-S3</f>
        <v>0</v>
      </c>
      <c r="T6">
        <f t="shared" si="3"/>
        <v>-1.2E-2</v>
      </c>
      <c r="U6">
        <f t="shared" si="0"/>
        <v>-3.4000000000000002E-2</v>
      </c>
      <c r="V6">
        <f t="shared" si="0"/>
        <v>-2.1999999999999999E-2</v>
      </c>
      <c r="W6">
        <f t="shared" si="0"/>
        <v>-1.4999999999999999E-2</v>
      </c>
      <c r="X6">
        <f t="shared" si="0"/>
        <v>-1.4E-2</v>
      </c>
    </row>
    <row r="7" spans="1:24" x14ac:dyDescent="0.2">
      <c r="A7" t="s">
        <v>39</v>
      </c>
      <c r="B7">
        <f t="shared" si="3"/>
        <v>-0.02</v>
      </c>
      <c r="C7">
        <f t="shared" si="0"/>
        <v>-1.9E-2</v>
      </c>
      <c r="D7">
        <f t="shared" si="0"/>
        <v>-1.7999999999999999E-2</v>
      </c>
      <c r="E7">
        <f t="shared" si="1"/>
        <v>-1.2E-2</v>
      </c>
      <c r="F7">
        <f t="shared" si="1"/>
        <v>-3.1E-2</v>
      </c>
      <c r="G7">
        <f t="shared" si="1"/>
        <v>-8.9999999999999993E-3</v>
      </c>
      <c r="H7">
        <f t="shared" si="0"/>
        <v>-3.0000000000000001E-3</v>
      </c>
      <c r="I7">
        <f>-I4</f>
        <v>8.9999999999999993E-3</v>
      </c>
      <c r="J7">
        <f t="shared" si="0"/>
        <v>6.0000000000000001E-3</v>
      </c>
      <c r="K7">
        <f t="shared" si="0"/>
        <v>0.01</v>
      </c>
      <c r="L7">
        <f t="shared" si="2"/>
        <v>-8.0000000000000002E-3</v>
      </c>
      <c r="M7">
        <f t="shared" si="2"/>
        <v>-2.1000000000000001E-2</v>
      </c>
      <c r="N7">
        <f t="shared" si="0"/>
        <v>2.7E-2</v>
      </c>
      <c r="O7">
        <f>-O4</f>
        <v>-2.4E-2</v>
      </c>
      <c r="P7">
        <f t="shared" si="0"/>
        <v>2.3E-2</v>
      </c>
      <c r="Q7">
        <f t="shared" si="0"/>
        <v>2E-3</v>
      </c>
      <c r="R7">
        <f t="shared" si="0"/>
        <v>1E-3</v>
      </c>
      <c r="S7">
        <f>-S4</f>
        <v>0</v>
      </c>
      <c r="T7">
        <f t="shared" si="0"/>
        <v>-2.1999999999999999E-2</v>
      </c>
      <c r="U7">
        <f t="shared" si="0"/>
        <v>-0.06</v>
      </c>
      <c r="V7">
        <f t="shared" si="0"/>
        <v>-3.7999999999999999E-2</v>
      </c>
      <c r="W7">
        <f t="shared" si="0"/>
        <v>-3.6999999999999998E-2</v>
      </c>
      <c r="X7">
        <f t="shared" si="0"/>
        <v>-3.1E-2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792C-C4FC-4E3B-BAFA-A4DB2478F695}">
  <dimension ref="A1:B5"/>
  <sheetViews>
    <sheetView workbookViewId="0">
      <selection activeCell="A12" sqref="A12"/>
    </sheetView>
  </sheetViews>
  <sheetFormatPr defaultRowHeight="14.25" x14ac:dyDescent="0.2"/>
  <cols>
    <col min="1" max="1" width="19.875" bestFit="1" customWidth="1"/>
    <col min="2" max="2" width="21.875" bestFit="1" customWidth="1"/>
  </cols>
  <sheetData>
    <row r="1" spans="1:2" x14ac:dyDescent="0.2">
      <c r="A1" s="1" t="s">
        <v>40</v>
      </c>
      <c r="B1" t="s">
        <v>45</v>
      </c>
    </row>
    <row r="2" spans="1:2" x14ac:dyDescent="0.2">
      <c r="A2" s="2" t="s">
        <v>46</v>
      </c>
      <c r="B2">
        <v>7.2999999999999995E-2</v>
      </c>
    </row>
    <row r="3" spans="1:2" x14ac:dyDescent="0.2">
      <c r="A3" s="2" t="s">
        <v>47</v>
      </c>
      <c r="B3">
        <v>4.2000000000000003E-2</v>
      </c>
    </row>
    <row r="4" spans="1:2" x14ac:dyDescent="0.2">
      <c r="A4" s="2" t="s">
        <v>48</v>
      </c>
      <c r="B4">
        <v>8.0000000000000002E-3</v>
      </c>
    </row>
    <row r="5" spans="1:2" x14ac:dyDescent="0.2">
      <c r="A5" s="2" t="s">
        <v>44</v>
      </c>
      <c r="B5">
        <v>0.123</v>
      </c>
    </row>
  </sheetData>
  <phoneticPr fontId="1" type="noConversion"/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85BA-4A58-4A5C-9453-02B2CFA40032}">
  <dimension ref="A1:X4"/>
  <sheetViews>
    <sheetView workbookViewId="0">
      <selection activeCell="H18" sqref="A1:XFD1048576"/>
    </sheetView>
  </sheetViews>
  <sheetFormatPr defaultRowHeight="14.25" x14ac:dyDescent="0.2"/>
  <cols>
    <col min="1" max="1" width="19.875" bestFit="1" customWidth="1"/>
    <col min="2" max="2" width="11" bestFit="1" customWidth="1"/>
    <col min="3" max="3" width="7" bestFit="1" customWidth="1"/>
    <col min="4" max="4" width="8.125" bestFit="1" customWidth="1"/>
    <col min="5" max="5" width="7.5" bestFit="1" customWidth="1"/>
    <col min="6" max="6" width="16" bestFit="1" customWidth="1"/>
    <col min="7" max="7" width="9.25" bestFit="1" customWidth="1"/>
    <col min="9" max="9" width="14.25" bestFit="1" customWidth="1"/>
    <col min="10" max="10" width="6.25" bestFit="1" customWidth="1"/>
    <col min="11" max="11" width="12.875" bestFit="1" customWidth="1"/>
    <col min="12" max="12" width="8.375" bestFit="1" customWidth="1"/>
    <col min="13" max="13" width="9.125" bestFit="1" customWidth="1"/>
    <col min="14" max="14" width="8.75" bestFit="1" customWidth="1"/>
    <col min="15" max="16" width="7.5" bestFit="1" customWidth="1"/>
    <col min="17" max="17" width="8.75" bestFit="1" customWidth="1"/>
    <col min="18" max="18" width="7.75" bestFit="1" customWidth="1"/>
    <col min="19" max="19" width="9.125" bestFit="1" customWidth="1"/>
    <col min="20" max="20" width="8.5" bestFit="1" customWidth="1"/>
    <col min="21" max="21" width="9.125" bestFit="1" customWidth="1"/>
    <col min="22" max="22" width="14.625" bestFit="1" customWidth="1"/>
    <col min="23" max="23" width="8.125" bestFit="1" customWidth="1"/>
    <col min="24" max="24" width="10.375" bestFit="1" customWidth="1"/>
  </cols>
  <sheetData>
    <row r="1" spans="1:24" x14ac:dyDescent="0.2">
      <c r="A1" t="s">
        <v>0</v>
      </c>
      <c r="B1" t="s">
        <v>13</v>
      </c>
      <c r="C1" t="s">
        <v>16</v>
      </c>
      <c r="D1" t="s">
        <v>3</v>
      </c>
      <c r="E1" t="s">
        <v>4</v>
      </c>
      <c r="F1" t="s">
        <v>7</v>
      </c>
      <c r="G1" t="s">
        <v>2</v>
      </c>
      <c r="H1" t="s">
        <v>8</v>
      </c>
      <c r="I1" t="s">
        <v>19</v>
      </c>
      <c r="J1" t="s">
        <v>20</v>
      </c>
      <c r="K1" t="s">
        <v>11</v>
      </c>
      <c r="L1" t="s">
        <v>5</v>
      </c>
      <c r="M1" t="s">
        <v>24</v>
      </c>
      <c r="N1" t="s">
        <v>18</v>
      </c>
      <c r="O1" t="s">
        <v>9</v>
      </c>
      <c r="P1" t="s">
        <v>10</v>
      </c>
      <c r="Q1" t="s">
        <v>21</v>
      </c>
      <c r="R1" t="s">
        <v>12</v>
      </c>
      <c r="S1" t="s">
        <v>6</v>
      </c>
      <c r="T1" t="s">
        <v>14</v>
      </c>
      <c r="U1" t="s">
        <v>17</v>
      </c>
      <c r="V1" t="s">
        <v>15</v>
      </c>
      <c r="W1" t="s">
        <v>1</v>
      </c>
      <c r="X1" t="s">
        <v>23</v>
      </c>
    </row>
    <row r="2" spans="1:24" x14ac:dyDescent="0.2">
      <c r="A2" t="s">
        <v>34</v>
      </c>
      <c r="B2">
        <v>-1.6E-2</v>
      </c>
      <c r="C2">
        <v>1E-3</v>
      </c>
      <c r="D2">
        <v>0</v>
      </c>
      <c r="E2">
        <v>1.4E-2</v>
      </c>
      <c r="F2">
        <v>1.6E-2</v>
      </c>
      <c r="G2">
        <v>8.0000000000000002E-3</v>
      </c>
      <c r="H2">
        <v>1.7999999999999999E-2</v>
      </c>
      <c r="I2">
        <v>7.2999999999999995E-2</v>
      </c>
      <c r="J2">
        <v>6.8000000000000005E-2</v>
      </c>
      <c r="K2">
        <v>3.5999999999999997E-2</v>
      </c>
      <c r="L2">
        <v>3.9E-2</v>
      </c>
      <c r="M2">
        <v>1.2E-2</v>
      </c>
      <c r="N2">
        <v>-0.01</v>
      </c>
      <c r="O2">
        <v>-1.0999999999999999E-2</v>
      </c>
      <c r="P2">
        <v>-5.0000000000000001E-3</v>
      </c>
      <c r="Q2">
        <v>-3.2000000000000001E-2</v>
      </c>
      <c r="R2">
        <v>-1.2E-2</v>
      </c>
      <c r="S2">
        <v>-4.0000000000000001E-3</v>
      </c>
      <c r="T2">
        <v>-1.4999999999999999E-2</v>
      </c>
      <c r="U2">
        <v>-1.4E-2</v>
      </c>
      <c r="V2">
        <v>-1.6E-2</v>
      </c>
      <c r="W2">
        <v>-2.5000000000000001E-2</v>
      </c>
      <c r="X2">
        <v>2.1000000000000001E-2</v>
      </c>
    </row>
    <row r="3" spans="1:24" x14ac:dyDescent="0.2">
      <c r="A3" t="s">
        <v>35</v>
      </c>
      <c r="B3">
        <v>-1.2999999999999999E-2</v>
      </c>
      <c r="C3">
        <v>2E-3</v>
      </c>
      <c r="D3">
        <v>0</v>
      </c>
      <c r="E3">
        <v>1.6E-2</v>
      </c>
      <c r="F3">
        <v>0.02</v>
      </c>
      <c r="G3">
        <v>-7.0000000000000001E-3</v>
      </c>
      <c r="H3">
        <v>2E-3</v>
      </c>
      <c r="I3">
        <v>8.0000000000000002E-3</v>
      </c>
      <c r="J3">
        <v>4.0000000000000001E-3</v>
      </c>
      <c r="K3">
        <v>-4.1000000000000002E-2</v>
      </c>
      <c r="L3">
        <v>3.4000000000000002E-2</v>
      </c>
      <c r="M3">
        <v>1.7999999999999999E-2</v>
      </c>
      <c r="N3">
        <v>7.0000000000000001E-3</v>
      </c>
      <c r="O3">
        <v>2.1999999999999999E-2</v>
      </c>
      <c r="P3">
        <v>1.2999999999999999E-2</v>
      </c>
      <c r="Q3">
        <v>1.7999999999999999E-2</v>
      </c>
      <c r="R3">
        <v>3.3000000000000002E-2</v>
      </c>
      <c r="S3">
        <v>2.8000000000000001E-2</v>
      </c>
      <c r="T3">
        <v>1.2E-2</v>
      </c>
      <c r="U3">
        <v>2E-3</v>
      </c>
      <c r="V3">
        <v>-8.0000000000000002E-3</v>
      </c>
      <c r="W3">
        <v>-1.6E-2</v>
      </c>
      <c r="X3">
        <v>2.9000000000000001E-2</v>
      </c>
    </row>
    <row r="4" spans="1:24" x14ac:dyDescent="0.2">
      <c r="A4" t="s">
        <v>29</v>
      </c>
      <c r="B4">
        <v>-2.5000000000000001E-2</v>
      </c>
      <c r="C4">
        <v>-3.0000000000000001E-3</v>
      </c>
      <c r="D4">
        <v>0</v>
      </c>
      <c r="E4">
        <v>1.9E-2</v>
      </c>
      <c r="F4">
        <v>1.4E-2</v>
      </c>
      <c r="G4">
        <v>-3.0000000000000001E-3</v>
      </c>
      <c r="H4">
        <v>5.0000000000000001E-3</v>
      </c>
      <c r="I4">
        <v>4.2000000000000003E-2</v>
      </c>
      <c r="J4">
        <v>4.2000000000000003E-2</v>
      </c>
      <c r="K4">
        <v>-4.0000000000000001E-3</v>
      </c>
      <c r="L4">
        <v>2.7E-2</v>
      </c>
      <c r="M4">
        <v>1.9E-2</v>
      </c>
      <c r="N4">
        <v>-5.0000000000000001E-3</v>
      </c>
      <c r="O4">
        <v>5.0000000000000001E-3</v>
      </c>
      <c r="P4">
        <v>0</v>
      </c>
      <c r="Q4">
        <v>1E-3</v>
      </c>
      <c r="R4">
        <v>8.0000000000000002E-3</v>
      </c>
      <c r="S4">
        <v>1.9E-2</v>
      </c>
      <c r="T4">
        <v>-8.0000000000000002E-3</v>
      </c>
      <c r="U4">
        <v>-1.0999999999999999E-2</v>
      </c>
      <c r="V4">
        <v>-2.1000000000000001E-2</v>
      </c>
      <c r="W4">
        <v>-2.5000000000000001E-2</v>
      </c>
      <c r="X4">
        <v>1.9E-2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NoUse</vt:lpstr>
      <vt:lpstr>Ascertain_NoUse</vt:lpstr>
      <vt:lpstr>Ascertain_inverse</vt:lpstr>
      <vt:lpstr>Cost</vt:lpstr>
      <vt:lpstr>Sheet1</vt:lpstr>
      <vt:lpstr>indivi_differ_Certain</vt:lpstr>
      <vt:lpstr>Sheet2</vt:lpstr>
      <vt:lpstr>indivi_differ_Risky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Xuqi</dc:creator>
  <cp:lastModifiedBy>Xuqi Liu</cp:lastModifiedBy>
  <dcterms:created xsi:type="dcterms:W3CDTF">2023-11-15T13:45:03Z</dcterms:created>
  <dcterms:modified xsi:type="dcterms:W3CDTF">2024-09-09T14:55:21Z</dcterms:modified>
</cp:coreProperties>
</file>