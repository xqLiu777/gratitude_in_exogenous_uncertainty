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firstSheet="4" activeTab="7"/>
  </bookViews>
  <sheets>
    <sheet name="ALL" sheetId="1" r:id="rId1"/>
    <sheet name="EXP2-2" sheetId="2" r:id="rId2"/>
    <sheet name="EXP3" sheetId="3" r:id="rId3"/>
    <sheet name="EXP3_0318" sheetId="4" r:id="rId4"/>
    <sheet name="EXP3_0419" sheetId="5" r:id="rId5"/>
    <sheet name="Sheet2" sheetId="6" r:id="rId6"/>
    <sheet name="0421" sheetId="7" r:id="rId7"/>
    <sheet name="Sheet1" sheetId="8" r:id="rId8"/>
    <sheet name="Sheet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<sst xmlns="http://schemas.openxmlformats.org/spreadsheetml/2006/main" count="404" uniqueCount="92">
  <si>
    <t>Model</t>
  </si>
  <si>
    <t>说明</t>
  </si>
  <si>
    <t>LOOIC</t>
  </si>
  <si>
    <t>顺位</t>
  </si>
  <si>
    <t>Model_01</t>
  </si>
  <si>
    <r>
      <rPr>
        <sz val="14"/>
        <color rgb="FF0070C0"/>
        <rFont val="等线"/>
        <charset val="134"/>
      </rPr>
      <t>相同斜率</t>
    </r>
    <r>
      <rPr>
        <sz val="14"/>
        <color theme="1"/>
        <rFont val="等线"/>
        <charset val="134"/>
      </rPr>
      <t>+</t>
    </r>
    <r>
      <rPr>
        <sz val="14"/>
        <color rgb="FF0070C0"/>
        <rFont val="等线"/>
        <charset val="134"/>
      </rPr>
      <t>相同截距</t>
    </r>
  </si>
  <si>
    <t>Model_02</t>
  </si>
  <si>
    <r>
      <rPr>
        <sz val="14"/>
        <color rgb="FFFF0000"/>
        <rFont val="等线"/>
        <charset val="134"/>
      </rPr>
      <t>不同斜率</t>
    </r>
    <r>
      <rPr>
        <sz val="14"/>
        <color theme="1"/>
        <rFont val="等线"/>
        <charset val="134"/>
      </rPr>
      <t>+</t>
    </r>
    <r>
      <rPr>
        <sz val="14"/>
        <color rgb="FFFF0000"/>
        <rFont val="等线"/>
        <charset val="134"/>
      </rPr>
      <t>不同截距</t>
    </r>
  </si>
  <si>
    <t>Model_03</t>
  </si>
  <si>
    <r>
      <rPr>
        <sz val="14"/>
        <color rgb="FFFF0000"/>
        <rFont val="等线"/>
        <charset val="134"/>
      </rPr>
      <t>不同斜率</t>
    </r>
    <r>
      <rPr>
        <sz val="14"/>
        <color theme="1"/>
        <rFont val="等线"/>
        <charset val="134"/>
      </rPr>
      <t>+</t>
    </r>
    <r>
      <rPr>
        <sz val="14"/>
        <color rgb="FF0070C0"/>
        <rFont val="等线"/>
        <charset val="134"/>
      </rPr>
      <t>相同截距</t>
    </r>
  </si>
  <si>
    <t>Model_04</t>
  </si>
  <si>
    <r>
      <rPr>
        <sz val="14"/>
        <color rgb="FF0070C0"/>
        <rFont val="等线"/>
        <charset val="134"/>
      </rPr>
      <t>相同斜率</t>
    </r>
    <r>
      <rPr>
        <sz val="14"/>
        <color theme="1"/>
        <rFont val="等线"/>
        <charset val="134"/>
      </rPr>
      <t>+</t>
    </r>
    <r>
      <rPr>
        <sz val="14"/>
        <color rgb="FFFF0000"/>
        <rFont val="等线"/>
        <charset val="134"/>
      </rPr>
      <t>不同截距</t>
    </r>
  </si>
  <si>
    <t>Model_05</t>
  </si>
  <si>
    <r>
      <rPr>
        <sz val="14"/>
        <color rgb="FF0070C0"/>
        <rFont val="等线"/>
        <charset val="134"/>
      </rPr>
      <t>相同斜率</t>
    </r>
    <r>
      <rPr>
        <sz val="14"/>
        <color theme="1"/>
        <rFont val="等线"/>
        <charset val="134"/>
      </rPr>
      <t>+右侧截距</t>
    </r>
  </si>
  <si>
    <t>Model_06</t>
  </si>
  <si>
    <r>
      <rPr>
        <sz val="14"/>
        <color rgb="FFFF0000"/>
        <rFont val="等线"/>
        <charset val="134"/>
      </rPr>
      <t>不同斜率</t>
    </r>
    <r>
      <rPr>
        <sz val="14"/>
        <color theme="1"/>
        <rFont val="等线"/>
        <charset val="134"/>
      </rPr>
      <t>+右侧截距</t>
    </r>
  </si>
  <si>
    <t>Model_07</t>
  </si>
  <si>
    <r>
      <rPr>
        <sz val="14"/>
        <color rgb="FF0070C0"/>
        <rFont val="等线"/>
        <charset val="134"/>
      </rPr>
      <t>相同斜率</t>
    </r>
    <r>
      <rPr>
        <sz val="14"/>
        <color theme="1"/>
        <rFont val="等线"/>
        <charset val="134"/>
      </rPr>
      <t>+左侧截距</t>
    </r>
  </si>
  <si>
    <t>Model_08</t>
  </si>
  <si>
    <r>
      <rPr>
        <sz val="14"/>
        <color rgb="FFFF0000"/>
        <rFont val="等线"/>
        <charset val="134"/>
      </rPr>
      <t>不同斜率</t>
    </r>
    <r>
      <rPr>
        <sz val="14"/>
        <color theme="1"/>
        <rFont val="等线"/>
        <charset val="134"/>
      </rPr>
      <t>+左侧截距</t>
    </r>
  </si>
  <si>
    <t>Model_09</t>
  </si>
  <si>
    <t>相同斜率</t>
  </si>
  <si>
    <t>Model_10</t>
  </si>
  <si>
    <t>不同斜率</t>
  </si>
  <si>
    <t>Model_11</t>
  </si>
  <si>
    <t>PE幂函数（取绝对值）</t>
  </si>
  <si>
    <t>Model_12</t>
  </si>
  <si>
    <t>Outcome幂函数</t>
  </si>
  <si>
    <t>F2.1</t>
  </si>
  <si>
    <t>F2.4</t>
  </si>
  <si>
    <t>F2.2</t>
  </si>
  <si>
    <t>F2.3</t>
  </si>
  <si>
    <t>F1.1</t>
  </si>
  <si>
    <t>F1.2</t>
  </si>
  <si>
    <t>F1.3</t>
  </si>
  <si>
    <t>F3.1</t>
  </si>
  <si>
    <t>Model_13</t>
  </si>
  <si>
    <r>
      <rPr>
        <sz val="14"/>
        <color rgb="FF0070C0"/>
        <rFont val="等线"/>
        <charset val="134"/>
      </rPr>
      <t>相同斜率</t>
    </r>
    <r>
      <rPr>
        <sz val="14"/>
        <color theme="1"/>
        <rFont val="等线"/>
        <charset val="134"/>
      </rPr>
      <t>Outcome+</t>
    </r>
    <r>
      <rPr>
        <sz val="14"/>
        <color rgb="FF0070C0"/>
        <rFont val="等线"/>
        <charset val="134"/>
      </rPr>
      <t>相同斜率</t>
    </r>
    <r>
      <rPr>
        <sz val="14"/>
        <color theme="1"/>
        <rFont val="等线"/>
        <charset val="134"/>
      </rPr>
      <t>PE</t>
    </r>
  </si>
  <si>
    <t>Model_14</t>
  </si>
  <si>
    <r>
      <rPr>
        <sz val="14"/>
        <color rgb="FFFF0000"/>
        <rFont val="等线"/>
        <charset val="134"/>
      </rPr>
      <t>不同斜率</t>
    </r>
    <r>
      <rPr>
        <sz val="14"/>
        <color theme="1"/>
        <rFont val="等线"/>
        <charset val="134"/>
      </rPr>
      <t>Outcome+</t>
    </r>
    <r>
      <rPr>
        <sz val="14"/>
        <color rgb="FFFF0000"/>
        <rFont val="等线"/>
        <charset val="134"/>
      </rPr>
      <t>不同斜率</t>
    </r>
    <r>
      <rPr>
        <sz val="14"/>
        <color theme="1"/>
        <rFont val="等线"/>
        <charset val="134"/>
      </rPr>
      <t>PE</t>
    </r>
  </si>
  <si>
    <t>Model_15</t>
  </si>
  <si>
    <r>
      <rPr>
        <sz val="14"/>
        <color rgb="FF0070C0"/>
        <rFont val="等线"/>
        <charset val="134"/>
      </rPr>
      <t>相同斜率</t>
    </r>
    <r>
      <rPr>
        <sz val="14"/>
        <color theme="1"/>
        <rFont val="等线"/>
        <charset val="134"/>
      </rPr>
      <t>Outcome+</t>
    </r>
    <r>
      <rPr>
        <sz val="14"/>
        <color rgb="FFFF0000"/>
        <rFont val="等线"/>
        <charset val="134"/>
      </rPr>
      <t>不同斜率</t>
    </r>
    <r>
      <rPr>
        <sz val="14"/>
        <color theme="1"/>
        <rFont val="等线"/>
        <charset val="134"/>
      </rPr>
      <t>PE</t>
    </r>
  </si>
  <si>
    <t>Model_16</t>
  </si>
  <si>
    <r>
      <rPr>
        <sz val="14"/>
        <color rgb="FFFF0000"/>
        <rFont val="等线"/>
        <charset val="134"/>
      </rPr>
      <t>不同斜率</t>
    </r>
    <r>
      <rPr>
        <sz val="14"/>
        <color theme="1"/>
        <rFont val="等线"/>
        <charset val="134"/>
      </rPr>
      <t>Outcome+</t>
    </r>
    <r>
      <rPr>
        <sz val="14"/>
        <color rgb="FF0070C0"/>
        <rFont val="等线"/>
        <charset val="134"/>
      </rPr>
      <t>相同斜率</t>
    </r>
    <r>
      <rPr>
        <sz val="14"/>
        <color theme="1"/>
        <rFont val="等线"/>
        <charset val="134"/>
      </rPr>
      <t>PE</t>
    </r>
  </si>
  <si>
    <t>LOOIC_diff</t>
  </si>
  <si>
    <t>Model_17</t>
  </si>
  <si>
    <t>不同斜率±相同截距</t>
  </si>
  <si>
    <t>Model_18</t>
  </si>
  <si>
    <t>不同斜率±相同截距+左侧bias</t>
  </si>
  <si>
    <t>Model_19</t>
  </si>
  <si>
    <t>不同斜率±相同截距+右侧bias</t>
  </si>
  <si>
    <t>Model_20</t>
  </si>
  <si>
    <t>相同斜率±相同截距</t>
  </si>
  <si>
    <t>Model_21</t>
  </si>
  <si>
    <t>相同斜率±相同截距+左侧bias</t>
  </si>
  <si>
    <t>Model_22</t>
  </si>
  <si>
    <t>相同斜率±相同截距+右侧bias</t>
  </si>
  <si>
    <t xml:space="preserve">PE-with-bias social learning </t>
  </si>
  <si>
    <t>相同斜率（无截距）</t>
  </si>
  <si>
    <t xml:space="preserve">PE-based social learning </t>
  </si>
  <si>
    <t>不同斜率（无截距）</t>
  </si>
  <si>
    <t>Outcome-based evaluation</t>
  </si>
  <si>
    <t>Model_30</t>
  </si>
  <si>
    <t>仅Outcome</t>
  </si>
  <si>
    <t>Model_31</t>
  </si>
  <si>
    <t>仅Intention</t>
  </si>
  <si>
    <t>Intention-based evaluation</t>
  </si>
  <si>
    <t>model</t>
  </si>
  <si>
    <t>family</t>
  </si>
  <si>
    <t>delta_looic</t>
  </si>
  <si>
    <t>M1-1</t>
  </si>
  <si>
    <t>Family1</t>
  </si>
  <si>
    <t>M1-2</t>
  </si>
  <si>
    <t>M1-3</t>
  </si>
  <si>
    <t>M2-1</t>
  </si>
  <si>
    <t>Family2</t>
  </si>
  <si>
    <t>仅相同截距</t>
  </si>
  <si>
    <t>Bias evaluation</t>
  </si>
  <si>
    <t>M2-2</t>
  </si>
  <si>
    <t>仅不同截距</t>
  </si>
  <si>
    <t>M3-1</t>
  </si>
  <si>
    <t>Family3</t>
  </si>
  <si>
    <t>M3-2</t>
  </si>
  <si>
    <t>M3-3</t>
  </si>
  <si>
    <t>M3-4</t>
  </si>
  <si>
    <t>M3-5</t>
  </si>
  <si>
    <t>M3-6</t>
  </si>
  <si>
    <t>M4-1</t>
  </si>
  <si>
    <t>Family4</t>
  </si>
  <si>
    <t>M4-2</t>
  </si>
  <si>
    <t>M5-1</t>
  </si>
  <si>
    <t>Family5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</si>
</sst>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4"/>
      <color theme="1"/>
      <name val="等线"/>
      <charset val="134"/>
    </font>
    <font>
      <sz val="14"/>
      <color theme="1"/>
      <name val="等线"/>
      <charset val="134"/>
    </font>
    <font>
      <sz val="14"/>
      <color rgb="FF0070C0"/>
      <name val="等线"/>
      <charset val="134"/>
    </font>
    <font>
      <sz val="12"/>
      <color rgb="FF060607"/>
      <name val="Times New Roman"/>
      <charset val="134"/>
    </font>
    <font>
      <sz val="14"/>
      <color rgb="FFFF0000"/>
      <name val="等线"/>
      <charset val="134"/>
    </font>
    <font>
      <sz val="10"/>
      <color rgb="FF000000"/>
      <name val="Lucida Console"/>
      <charset val="134"/>
    </font>
    <font>
      <sz val="10"/>
      <color rgb="FF000000"/>
      <name val="Lucida Sans"/>
      <charset val="134"/>
    </font>
    <font>
      <sz val="9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>
      <alignment vertical="center"/>
    </xf>
    <xf numFmtId="0" fontId="0" fillId="0" borderId="0" xfId="0" applyFill="1" applyAlignment="1">
      <alignment horizontal="left" vertical="center"/>
    </xf>
    <xf numFmtId="0" fontId="4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5" fillId="0" borderId="0" xfId="0" applyFont="1">
      <alignment vertical="center"/>
    </xf>
    <xf numFmtId="0" fontId="1" fillId="2" borderId="0" xfId="0" applyFont="1" applyFill="1">
      <alignment vertical="center"/>
    </xf>
    <xf numFmtId="0" fontId="6" fillId="0" borderId="0" xfId="0" applyFont="1">
      <alignment vertic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justify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3" borderId="0" xfId="0" applyFont="1" applyFill="1">
      <alignment vertical="center"/>
    </xf>
    <xf numFmtId="0" fontId="0" fillId="3" borderId="0" xfId="0" applyFill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11" sqref="E11"/>
    </sheetView>
  </sheetViews>
  <sheetFormatPr defaultColWidth="9" defaultRowHeight="17.4" outlineLevelCol="4"/>
  <cols>
    <col min="2" max="2" width="21.16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="17" customFormat="1" spans="1:5">
      <c r="A2" s="17" t="s">
        <v>4</v>
      </c>
      <c r="B2" s="18" t="s">
        <v>5</v>
      </c>
      <c r="C2" s="17">
        <v>25304.08</v>
      </c>
      <c r="D2" s="17">
        <v>8</v>
      </c>
      <c r="E2" s="17">
        <v>5</v>
      </c>
    </row>
    <row r="3" s="17" customFormat="1" spans="1:5">
      <c r="A3" s="17" t="s">
        <v>6</v>
      </c>
      <c r="B3" s="18" t="s">
        <v>7</v>
      </c>
      <c r="C3" s="17">
        <v>24754.37</v>
      </c>
      <c r="D3" s="17">
        <v>1</v>
      </c>
      <c r="E3" s="17">
        <v>1</v>
      </c>
    </row>
    <row r="4" s="17" customFormat="1" spans="1:5">
      <c r="A4" s="17" t="s">
        <v>8</v>
      </c>
      <c r="B4" s="18" t="s">
        <v>9</v>
      </c>
      <c r="C4" s="17">
        <v>24993.89</v>
      </c>
      <c r="D4" s="17">
        <v>3</v>
      </c>
      <c r="E4" s="17">
        <v>2</v>
      </c>
    </row>
    <row r="5" s="17" customFormat="1" spans="1:5">
      <c r="A5" s="17" t="s">
        <v>10</v>
      </c>
      <c r="B5" s="18" t="s">
        <v>11</v>
      </c>
      <c r="C5" s="17">
        <v>25091.75</v>
      </c>
      <c r="D5" s="17">
        <v>5</v>
      </c>
      <c r="E5" s="17">
        <v>3</v>
      </c>
    </row>
    <row r="6" spans="1:5">
      <c r="A6" t="s">
        <v>12</v>
      </c>
      <c r="B6" s="1" t="s">
        <v>13</v>
      </c>
      <c r="C6">
        <v>25256.98</v>
      </c>
      <c r="D6">
        <v>7</v>
      </c>
    </row>
    <row r="7" spans="1:5">
      <c r="A7" t="s">
        <v>14</v>
      </c>
      <c r="B7" s="1" t="s">
        <v>15</v>
      </c>
      <c r="C7">
        <v>24858.89</v>
      </c>
      <c r="D7">
        <v>2</v>
      </c>
    </row>
    <row r="8" spans="1:5">
      <c r="A8" t="s">
        <v>16</v>
      </c>
      <c r="B8" s="1" t="s">
        <v>17</v>
      </c>
      <c r="C8">
        <v>25622.47</v>
      </c>
      <c r="D8">
        <v>10</v>
      </c>
    </row>
    <row r="9" spans="1:5">
      <c r="A9" t="s">
        <v>18</v>
      </c>
      <c r="B9" s="1" t="s">
        <v>19</v>
      </c>
      <c r="C9">
        <v>25053.14</v>
      </c>
      <c r="D9">
        <v>4</v>
      </c>
    </row>
    <row r="10" s="17" customFormat="1" spans="1:5">
      <c r="A10" s="17" t="s">
        <v>20</v>
      </c>
      <c r="B10" s="20" t="s">
        <v>21</v>
      </c>
      <c r="C10" s="17">
        <v>26408.88</v>
      </c>
      <c r="D10" s="17">
        <v>12</v>
      </c>
      <c r="E10" s="17">
        <v>8</v>
      </c>
    </row>
    <row r="11" s="17" customFormat="1" spans="1:5">
      <c r="A11" s="17" t="s">
        <v>22</v>
      </c>
      <c r="B11" s="21" t="s">
        <v>23</v>
      </c>
      <c r="C11" s="17">
        <v>25121.97</v>
      </c>
      <c r="D11" s="17">
        <v>6</v>
      </c>
      <c r="E11" s="17">
        <v>4</v>
      </c>
    </row>
    <row r="12" s="17" customFormat="1" spans="1:5">
      <c r="A12" s="17" t="s">
        <v>24</v>
      </c>
      <c r="B12" s="17" t="s">
        <v>25</v>
      </c>
      <c r="C12" s="17">
        <v>26264.4</v>
      </c>
      <c r="D12" s="17">
        <v>11</v>
      </c>
      <c r="E12" s="17">
        <v>7</v>
      </c>
    </row>
    <row r="13" s="17" customFormat="1" spans="1:5">
      <c r="A13" s="17" t="s">
        <v>26</v>
      </c>
      <c r="B13" s="17" t="s">
        <v>27</v>
      </c>
      <c r="C13" s="17">
        <v>25500.03</v>
      </c>
      <c r="D13" s="17">
        <v>9</v>
      </c>
      <c r="E13" s="17">
        <v>6</v>
      </c>
    </row>
  </sheetData>
  <sortState ref="A2:D13">
    <sortCondition ref="A2:A13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3" sqref="E3"/>
    </sheetView>
  </sheetViews>
  <sheetFormatPr defaultColWidth="9" defaultRowHeight="17.4" outlineLevelCol="4"/>
  <cols>
    <col min="1" max="1" width="9.16666666666667" customWidth="1"/>
    <col min="2" max="2" width="21.1666666666667" customWidth="1"/>
    <col min="3" max="3" width="14.41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="17" customFormat="1" spans="1:5">
      <c r="A2" s="17" t="s">
        <v>4</v>
      </c>
      <c r="B2" s="18" t="s">
        <v>5</v>
      </c>
      <c r="C2" s="17">
        <v>8050.431</v>
      </c>
      <c r="D2" s="17">
        <v>8</v>
      </c>
      <c r="E2" s="17" t="s">
        <v>28</v>
      </c>
    </row>
    <row r="3" s="17" customFormat="1" spans="1:5">
      <c r="A3" s="17" t="s">
        <v>6</v>
      </c>
      <c r="B3" s="18" t="s">
        <v>7</v>
      </c>
      <c r="C3" s="17">
        <v>7620.348</v>
      </c>
      <c r="D3" s="17">
        <v>1</v>
      </c>
      <c r="E3" s="17" t="s">
        <v>29</v>
      </c>
    </row>
    <row r="4" s="17" customFormat="1" spans="1:5">
      <c r="A4" s="17" t="s">
        <v>8</v>
      </c>
      <c r="B4" s="18" t="s">
        <v>9</v>
      </c>
      <c r="C4" s="17">
        <v>7710.06</v>
      </c>
      <c r="D4" s="17">
        <v>3</v>
      </c>
      <c r="E4" s="17" t="s">
        <v>30</v>
      </c>
    </row>
    <row r="5" s="17" customFormat="1" spans="1:5">
      <c r="A5" s="17" t="s">
        <v>10</v>
      </c>
      <c r="B5" s="18" t="s">
        <v>11</v>
      </c>
      <c r="C5" s="17">
        <v>7944.182</v>
      </c>
      <c r="D5" s="17">
        <v>7</v>
      </c>
      <c r="E5" s="17" t="s">
        <v>31</v>
      </c>
    </row>
    <row r="6" spans="1:5">
      <c r="A6" t="s">
        <v>12</v>
      </c>
      <c r="B6" s="1" t="s">
        <v>13</v>
      </c>
      <c r="C6">
        <v>8205.241</v>
      </c>
      <c r="D6">
        <v>10</v>
      </c>
    </row>
    <row r="7" spans="1:5">
      <c r="A7" t="s">
        <v>14</v>
      </c>
      <c r="B7" s="1" t="s">
        <v>15</v>
      </c>
      <c r="C7">
        <v>7814.346</v>
      </c>
      <c r="D7">
        <v>5</v>
      </c>
    </row>
    <row r="8" spans="1:5">
      <c r="A8" t="s">
        <v>16</v>
      </c>
      <c r="B8" s="1" t="s">
        <v>17</v>
      </c>
      <c r="C8">
        <v>8059.933</v>
      </c>
      <c r="D8">
        <v>9</v>
      </c>
    </row>
    <row r="9" spans="1:5">
      <c r="A9" t="s">
        <v>18</v>
      </c>
      <c r="B9" s="1" t="s">
        <v>19</v>
      </c>
      <c r="C9">
        <v>7673.494</v>
      </c>
      <c r="D9">
        <v>2</v>
      </c>
    </row>
    <row r="10" s="17" customFormat="1" spans="1:5">
      <c r="A10" s="17" t="s">
        <v>20</v>
      </c>
      <c r="B10" s="20" t="s">
        <v>21</v>
      </c>
      <c r="C10" s="17">
        <v>8502.003</v>
      </c>
      <c r="D10" s="17">
        <v>12</v>
      </c>
      <c r="E10" s="17" t="s">
        <v>32</v>
      </c>
    </row>
    <row r="11" s="17" customFormat="1" spans="1:5">
      <c r="A11" s="17" t="s">
        <v>22</v>
      </c>
      <c r="B11" s="21" t="s">
        <v>23</v>
      </c>
      <c r="C11" s="17">
        <v>7856.618</v>
      </c>
      <c r="D11" s="17">
        <v>6</v>
      </c>
      <c r="E11" s="17" t="s">
        <v>33</v>
      </c>
    </row>
    <row r="12" s="17" customFormat="1" spans="1:5">
      <c r="A12" s="17" t="s">
        <v>24</v>
      </c>
      <c r="B12" s="17" t="s">
        <v>25</v>
      </c>
      <c r="C12" s="17">
        <v>8478.256</v>
      </c>
      <c r="D12" s="17">
        <v>11</v>
      </c>
      <c r="E12" s="17" t="s">
        <v>34</v>
      </c>
    </row>
    <row r="13" s="17" customFormat="1" spans="1:5">
      <c r="A13" s="17" t="s">
        <v>26</v>
      </c>
      <c r="B13" s="17" t="s">
        <v>27</v>
      </c>
      <c r="C13" s="17">
        <v>7721.139</v>
      </c>
      <c r="D13" s="17">
        <v>4</v>
      </c>
      <c r="E13" s="17" t="s">
        <v>35</v>
      </c>
    </row>
  </sheetData>
  <sortState ref="A2:D13">
    <sortCondition ref="A2:A13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B3" sqref="$A1:$XFD1048576"/>
    </sheetView>
  </sheetViews>
  <sheetFormatPr defaultColWidth="9" defaultRowHeight="17.4" outlineLevelCol="4"/>
  <cols>
    <col min="1" max="1" width="9.5" customWidth="1"/>
    <col min="2" max="2" width="28.6666666666667" customWidth="1"/>
    <col min="3" max="3" width="14.16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="17" customFormat="1" spans="1:5">
      <c r="A2" s="17" t="s">
        <v>4</v>
      </c>
      <c r="B2" s="18" t="s">
        <v>5</v>
      </c>
      <c r="C2" s="17">
        <v>17016.08</v>
      </c>
      <c r="D2" s="17">
        <v>11</v>
      </c>
      <c r="E2" s="17">
        <v>8</v>
      </c>
    </row>
    <row r="3" s="17" customFormat="1" spans="1:5">
      <c r="A3" s="17" t="s">
        <v>6</v>
      </c>
      <c r="B3" s="18" t="s">
        <v>7</v>
      </c>
      <c r="C3" s="17">
        <v>16766.95</v>
      </c>
      <c r="D3" s="17">
        <v>1</v>
      </c>
      <c r="E3" s="17">
        <v>1</v>
      </c>
    </row>
    <row r="4" s="17" customFormat="1" spans="1:5">
      <c r="A4" s="17" t="s">
        <v>8</v>
      </c>
      <c r="B4" s="18" t="s">
        <v>9</v>
      </c>
      <c r="C4" s="17">
        <v>16945.97</v>
      </c>
      <c r="D4" s="17">
        <v>8</v>
      </c>
      <c r="E4" s="17">
        <v>6</v>
      </c>
    </row>
    <row r="5" s="17" customFormat="1" spans="1:5">
      <c r="A5" s="17" t="s">
        <v>10</v>
      </c>
      <c r="B5" s="18" t="s">
        <v>11</v>
      </c>
      <c r="C5" s="17">
        <v>16835.05</v>
      </c>
      <c r="D5" s="17">
        <v>4</v>
      </c>
      <c r="E5" s="17">
        <v>3</v>
      </c>
    </row>
    <row r="6" spans="1:5">
      <c r="A6" t="s">
        <v>12</v>
      </c>
      <c r="B6" s="1" t="s">
        <v>13</v>
      </c>
      <c r="C6">
        <v>16925.71</v>
      </c>
      <c r="D6">
        <v>6</v>
      </c>
    </row>
    <row r="7" spans="1:5">
      <c r="A7" t="s">
        <v>14</v>
      </c>
      <c r="B7" s="1" t="s">
        <v>15</v>
      </c>
      <c r="C7">
        <v>16797.65</v>
      </c>
      <c r="D7">
        <v>2</v>
      </c>
    </row>
    <row r="8" spans="1:5">
      <c r="A8" t="s">
        <v>16</v>
      </c>
      <c r="B8" s="1" t="s">
        <v>17</v>
      </c>
      <c r="C8">
        <v>17258.1</v>
      </c>
      <c r="D8">
        <v>13</v>
      </c>
    </row>
    <row r="9" spans="1:5">
      <c r="A9" t="s">
        <v>18</v>
      </c>
      <c r="B9" s="1" t="s">
        <v>19</v>
      </c>
      <c r="C9">
        <v>16980.59</v>
      </c>
      <c r="D9">
        <v>9</v>
      </c>
    </row>
    <row r="10" s="17" customFormat="1" spans="1:5">
      <c r="A10" s="17" t="s">
        <v>20</v>
      </c>
      <c r="B10" s="20" t="s">
        <v>21</v>
      </c>
      <c r="C10" s="17">
        <v>17679.64</v>
      </c>
      <c r="D10" s="17">
        <v>16</v>
      </c>
      <c r="E10" s="17">
        <v>12</v>
      </c>
    </row>
    <row r="11" s="17" customFormat="1" spans="1:5">
      <c r="A11" s="17" t="s">
        <v>22</v>
      </c>
      <c r="B11" s="21" t="s">
        <v>23</v>
      </c>
      <c r="C11" s="17">
        <v>17013.12</v>
      </c>
      <c r="D11" s="17">
        <v>10</v>
      </c>
      <c r="E11" s="17">
        <v>7</v>
      </c>
    </row>
    <row r="12" s="17" customFormat="1" spans="1:5">
      <c r="A12" s="17" t="s">
        <v>24</v>
      </c>
      <c r="B12" s="17" t="s">
        <v>25</v>
      </c>
      <c r="C12" s="17">
        <v>17598.54</v>
      </c>
      <c r="D12" s="17">
        <v>14</v>
      </c>
      <c r="E12" s="17">
        <v>10</v>
      </c>
    </row>
    <row r="13" s="17" customFormat="1" spans="1:5">
      <c r="A13" s="17" t="s">
        <v>26</v>
      </c>
      <c r="B13" s="17" t="s">
        <v>27</v>
      </c>
      <c r="C13" s="17">
        <v>17165.24</v>
      </c>
      <c r="D13" s="17">
        <v>12</v>
      </c>
      <c r="E13" s="17">
        <v>9</v>
      </c>
    </row>
    <row r="14" s="17" customFormat="1" spans="1:5">
      <c r="A14" s="17" t="s">
        <v>36</v>
      </c>
      <c r="B14" s="18" t="s">
        <v>37</v>
      </c>
      <c r="C14" s="17">
        <v>17619.75</v>
      </c>
      <c r="D14" s="17">
        <v>15</v>
      </c>
      <c r="E14" s="17">
        <v>11</v>
      </c>
    </row>
    <row r="15" s="17" customFormat="1" spans="1:5">
      <c r="A15" s="17" t="s">
        <v>38</v>
      </c>
      <c r="B15" s="18" t="s">
        <v>39</v>
      </c>
      <c r="C15" s="17">
        <v>16814.27</v>
      </c>
      <c r="D15" s="17">
        <v>3</v>
      </c>
      <c r="E15" s="17">
        <v>2</v>
      </c>
    </row>
    <row r="16" s="17" customFormat="1" spans="1:5">
      <c r="A16" s="17" t="s">
        <v>40</v>
      </c>
      <c r="B16" s="18" t="s">
        <v>41</v>
      </c>
      <c r="C16" s="17">
        <v>16940.78</v>
      </c>
      <c r="D16" s="17">
        <v>7</v>
      </c>
      <c r="E16" s="17">
        <v>5</v>
      </c>
    </row>
    <row r="17" s="17" customFormat="1" spans="1:5">
      <c r="A17" s="17" t="s">
        <v>42</v>
      </c>
      <c r="B17" s="18" t="s">
        <v>43</v>
      </c>
      <c r="C17" s="17">
        <v>16920.07</v>
      </c>
      <c r="D17" s="17">
        <v>5</v>
      </c>
      <c r="E17" s="17">
        <v>4</v>
      </c>
    </row>
  </sheetData>
  <sortState ref="A2:D10">
    <sortCondition ref="A2:A10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B36" sqref="B36"/>
    </sheetView>
  </sheetViews>
  <sheetFormatPr defaultColWidth="9" defaultRowHeight="17.4" outlineLevelCol="5"/>
  <cols>
    <col min="1" max="1" width="9.5" customWidth="1"/>
    <col min="2" max="2" width="28.6666666666667" customWidth="1"/>
    <col min="3" max="4" width="14.1666666666667" style="2" customWidth="1"/>
  </cols>
  <sheetData>
    <row r="1" spans="1:6">
      <c r="A1" t="s">
        <v>0</v>
      </c>
      <c r="B1" t="s">
        <v>1</v>
      </c>
      <c r="C1" s="2" t="s">
        <v>2</v>
      </c>
      <c r="D1" s="3" t="s">
        <v>44</v>
      </c>
      <c r="E1" t="s">
        <v>3</v>
      </c>
    </row>
    <row r="2" s="17" customFormat="1" spans="1:6">
      <c r="A2" s="17" t="s">
        <v>4</v>
      </c>
      <c r="B2" s="18" t="s">
        <v>5</v>
      </c>
      <c r="C2" s="7">
        <v>17016.08</v>
      </c>
      <c r="D2" s="19">
        <f>C2-C$3</f>
        <v>249.130000000001</v>
      </c>
      <c r="E2" s="17">
        <v>16</v>
      </c>
    </row>
    <row r="3" s="17" customFormat="1" spans="1:6">
      <c r="A3" s="17" t="s">
        <v>6</v>
      </c>
      <c r="B3" s="18" t="s">
        <v>7</v>
      </c>
      <c r="C3" s="7">
        <v>16766.95</v>
      </c>
      <c r="D3" s="19">
        <f t="shared" ref="D3:D23" si="0">C3-C$3</f>
        <v>0</v>
      </c>
      <c r="E3" s="17">
        <v>1</v>
      </c>
    </row>
    <row r="4" s="17" customFormat="1" spans="1:6">
      <c r="A4" s="17" t="s">
        <v>8</v>
      </c>
      <c r="B4" s="18" t="s">
        <v>9</v>
      </c>
      <c r="C4" s="7">
        <v>16945.97</v>
      </c>
      <c r="D4" s="19">
        <f t="shared" si="0"/>
        <v>179.02</v>
      </c>
      <c r="E4" s="17">
        <v>13</v>
      </c>
    </row>
    <row r="5" s="17" customFormat="1" spans="1:6">
      <c r="A5" s="17" t="s">
        <v>10</v>
      </c>
      <c r="B5" s="18" t="s">
        <v>11</v>
      </c>
      <c r="C5" s="7">
        <v>16835.05</v>
      </c>
      <c r="D5" s="19">
        <f t="shared" si="0"/>
        <v>68.0999999999985</v>
      </c>
      <c r="E5" s="17">
        <v>6</v>
      </c>
    </row>
    <row r="6" spans="1:6">
      <c r="A6" t="s">
        <v>12</v>
      </c>
      <c r="B6" s="1" t="s">
        <v>13</v>
      </c>
      <c r="C6" s="7">
        <v>16925.71</v>
      </c>
      <c r="D6" s="7">
        <f t="shared" si="0"/>
        <v>158.759999999998</v>
      </c>
      <c r="E6" s="9">
        <v>11</v>
      </c>
      <c r="F6" s="9"/>
    </row>
    <row r="7" spans="1:6">
      <c r="A7" t="s">
        <v>14</v>
      </c>
      <c r="B7" s="1" t="s">
        <v>15</v>
      </c>
      <c r="C7" s="7">
        <v>16797.65</v>
      </c>
      <c r="D7" s="7">
        <f t="shared" si="0"/>
        <v>30.7000000000007</v>
      </c>
      <c r="E7" s="9">
        <v>4</v>
      </c>
      <c r="F7" s="9"/>
    </row>
    <row r="8" spans="1:6">
      <c r="A8" t="s">
        <v>16</v>
      </c>
      <c r="B8" s="1" t="s">
        <v>17</v>
      </c>
      <c r="C8" s="7">
        <v>17258.1</v>
      </c>
      <c r="D8" s="7">
        <f t="shared" si="0"/>
        <v>491.149999999998</v>
      </c>
      <c r="E8" s="9">
        <v>18</v>
      </c>
      <c r="F8" s="9"/>
    </row>
    <row r="9" spans="1:6">
      <c r="A9" t="s">
        <v>18</v>
      </c>
      <c r="B9" s="1" t="s">
        <v>19</v>
      </c>
      <c r="C9" s="7">
        <v>16980.59</v>
      </c>
      <c r="D9" s="7">
        <f t="shared" si="0"/>
        <v>213.639999999999</v>
      </c>
      <c r="E9" s="9">
        <v>14</v>
      </c>
      <c r="F9" s="9"/>
    </row>
    <row r="10" s="17" customFormat="1" spans="1:6">
      <c r="A10" s="17" t="s">
        <v>20</v>
      </c>
      <c r="B10" s="20" t="s">
        <v>21</v>
      </c>
      <c r="C10" s="7">
        <v>17679.64</v>
      </c>
      <c r="D10" s="19">
        <f t="shared" si="0"/>
        <v>912.689999999999</v>
      </c>
      <c r="E10" s="17">
        <v>22</v>
      </c>
    </row>
    <row r="11" s="17" customFormat="1" spans="1:6">
      <c r="A11" s="17" t="s">
        <v>22</v>
      </c>
      <c r="B11" s="21" t="s">
        <v>23</v>
      </c>
      <c r="C11" s="7">
        <v>17013.12</v>
      </c>
      <c r="D11" s="19">
        <f t="shared" si="0"/>
        <v>246.169999999998</v>
      </c>
      <c r="E11" s="17">
        <v>15</v>
      </c>
    </row>
    <row r="12" s="17" customFormat="1" spans="1:6">
      <c r="A12" s="18" t="s">
        <v>24</v>
      </c>
      <c r="B12" s="17" t="s">
        <v>25</v>
      </c>
      <c r="C12" s="7">
        <v>17598.54</v>
      </c>
      <c r="D12" s="19">
        <f t="shared" si="0"/>
        <v>831.59</v>
      </c>
      <c r="E12" s="17">
        <v>20</v>
      </c>
    </row>
    <row r="13" s="17" customFormat="1" spans="1:6">
      <c r="A13" s="18" t="s">
        <v>26</v>
      </c>
      <c r="B13" s="17" t="s">
        <v>27</v>
      </c>
      <c r="C13" s="7">
        <v>17165.24</v>
      </c>
      <c r="D13" s="19">
        <f t="shared" si="0"/>
        <v>398.290000000001</v>
      </c>
      <c r="E13" s="17">
        <v>17</v>
      </c>
    </row>
    <row r="14" s="17" customFormat="1" spans="1:6">
      <c r="A14" s="17" t="s">
        <v>36</v>
      </c>
      <c r="B14" s="18" t="s">
        <v>37</v>
      </c>
      <c r="C14" s="7">
        <v>17619.75</v>
      </c>
      <c r="D14" s="19">
        <f t="shared" si="0"/>
        <v>852.799999999999</v>
      </c>
      <c r="E14" s="17">
        <v>21</v>
      </c>
    </row>
    <row r="15" s="17" customFormat="1" spans="1:6">
      <c r="A15" s="17" t="s">
        <v>38</v>
      </c>
      <c r="B15" s="18" t="s">
        <v>39</v>
      </c>
      <c r="C15" s="7">
        <v>16814.27</v>
      </c>
      <c r="D15" s="19">
        <f t="shared" si="0"/>
        <v>47.3199999999997</v>
      </c>
      <c r="E15" s="17">
        <v>5</v>
      </c>
    </row>
    <row r="16" s="17" customFormat="1" spans="1:6">
      <c r="A16" s="17" t="s">
        <v>40</v>
      </c>
      <c r="B16" s="18" t="s">
        <v>41</v>
      </c>
      <c r="C16" s="7">
        <v>16940.78</v>
      </c>
      <c r="D16" s="19">
        <f t="shared" si="0"/>
        <v>173.829999999998</v>
      </c>
      <c r="E16" s="17">
        <v>12</v>
      </c>
    </row>
    <row r="17" s="17" customFormat="1" spans="1:5">
      <c r="A17" s="17" t="s">
        <v>42</v>
      </c>
      <c r="B17" s="18" t="s">
        <v>43</v>
      </c>
      <c r="C17" s="7">
        <v>16920.07</v>
      </c>
      <c r="D17" s="19">
        <f t="shared" si="0"/>
        <v>153.119999999999</v>
      </c>
      <c r="E17" s="17">
        <v>10</v>
      </c>
    </row>
    <row r="18" s="16" customFormat="1" spans="1:5">
      <c r="A18" s="22" t="s">
        <v>45</v>
      </c>
      <c r="B18" s="12" t="s">
        <v>46</v>
      </c>
      <c r="C18" s="7">
        <v>16907.34</v>
      </c>
      <c r="D18" s="19">
        <f t="shared" si="0"/>
        <v>140.389999999999</v>
      </c>
      <c r="E18" s="16">
        <v>9</v>
      </c>
    </row>
    <row r="19" s="16" customFormat="1" spans="1:5">
      <c r="A19" s="22" t="s">
        <v>47</v>
      </c>
      <c r="B19" s="12" t="s">
        <v>48</v>
      </c>
      <c r="C19" s="7">
        <v>16796.18</v>
      </c>
      <c r="D19" s="19">
        <f t="shared" si="0"/>
        <v>29.2299999999996</v>
      </c>
      <c r="E19" s="16">
        <v>3</v>
      </c>
    </row>
    <row r="20" s="16" customFormat="1" spans="1:5">
      <c r="A20" s="22" t="s">
        <v>49</v>
      </c>
      <c r="B20" s="12" t="s">
        <v>50</v>
      </c>
      <c r="C20" s="7">
        <v>16767.82</v>
      </c>
      <c r="D20" s="19">
        <f t="shared" si="0"/>
        <v>0.869999999998981</v>
      </c>
      <c r="E20" s="16">
        <v>2</v>
      </c>
    </row>
    <row r="21" s="16" customFormat="1" spans="1:5">
      <c r="A21" s="22" t="s">
        <v>51</v>
      </c>
      <c r="B21" s="12" t="s">
        <v>52</v>
      </c>
      <c r="C21" s="7">
        <v>17586.53</v>
      </c>
      <c r="D21" s="19">
        <f t="shared" si="0"/>
        <v>819.579999999998</v>
      </c>
      <c r="E21" s="16">
        <v>19</v>
      </c>
    </row>
    <row r="22" s="16" customFormat="1" spans="1:5">
      <c r="A22" s="22" t="s">
        <v>53</v>
      </c>
      <c r="B22" s="12" t="s">
        <v>54</v>
      </c>
      <c r="C22" s="7">
        <v>16847.05</v>
      </c>
      <c r="D22" s="19">
        <f t="shared" si="0"/>
        <v>80.0999999999985</v>
      </c>
      <c r="E22" s="16">
        <v>8</v>
      </c>
    </row>
    <row r="23" s="16" customFormat="1" spans="1:5">
      <c r="A23" s="12" t="s">
        <v>55</v>
      </c>
      <c r="B23" s="12" t="s">
        <v>56</v>
      </c>
      <c r="C23" s="7">
        <v>16835.59</v>
      </c>
      <c r="D23" s="19">
        <f t="shared" si="0"/>
        <v>68.6399999999994</v>
      </c>
      <c r="E23" s="16">
        <v>7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3" sqref="$A3:$XFD3"/>
    </sheetView>
  </sheetViews>
  <sheetFormatPr defaultColWidth="9" defaultRowHeight="17.4" outlineLevelCol="5"/>
  <cols>
    <col min="1" max="1" width="9.5" customWidth="1"/>
    <col min="2" max="2" width="28.6666666666667" customWidth="1"/>
    <col min="3" max="4" width="14.1666666666667" style="2" customWidth="1"/>
  </cols>
  <sheetData>
    <row r="1" spans="1:6">
      <c r="A1" t="s">
        <v>0</v>
      </c>
      <c r="B1" t="s">
        <v>1</v>
      </c>
      <c r="C1" s="2" t="s">
        <v>2</v>
      </c>
      <c r="D1" s="3" t="s">
        <v>44</v>
      </c>
      <c r="E1" t="s">
        <v>3</v>
      </c>
    </row>
    <row r="2" s="17" customFormat="1" spans="1:6">
      <c r="A2" s="17" t="s">
        <v>4</v>
      </c>
      <c r="B2" s="18" t="s">
        <v>5</v>
      </c>
      <c r="C2" s="7">
        <v>17019.23</v>
      </c>
      <c r="D2" s="19">
        <f>C2-C$19</f>
        <v>283.110000000001</v>
      </c>
      <c r="E2" s="17">
        <v>15</v>
      </c>
    </row>
    <row r="3" s="17" customFormat="1" spans="1:6">
      <c r="A3" s="17" t="s">
        <v>6</v>
      </c>
      <c r="B3" s="18" t="s">
        <v>7</v>
      </c>
      <c r="C3" s="7">
        <v>16738.79</v>
      </c>
      <c r="D3" s="19">
        <f t="shared" ref="D3:D23" si="0">C3-C$19</f>
        <v>2.67000000000189</v>
      </c>
      <c r="E3" s="17">
        <v>2</v>
      </c>
    </row>
    <row r="4" s="17" customFormat="1" spans="1:6">
      <c r="A4" s="17" t="s">
        <v>8</v>
      </c>
      <c r="B4" s="18" t="s">
        <v>9</v>
      </c>
      <c r="C4" s="7">
        <v>16952.02</v>
      </c>
      <c r="D4" s="19">
        <f t="shared" si="0"/>
        <v>215.900000000001</v>
      </c>
      <c r="E4" s="17">
        <v>12</v>
      </c>
    </row>
    <row r="5" s="17" customFormat="1" spans="1:6">
      <c r="A5" s="17" t="s">
        <v>10</v>
      </c>
      <c r="B5" s="18" t="s">
        <v>11</v>
      </c>
      <c r="C5" s="7">
        <v>16834.64</v>
      </c>
      <c r="D5" s="19">
        <f t="shared" si="0"/>
        <v>98.5200000000004</v>
      </c>
      <c r="E5" s="17">
        <v>8</v>
      </c>
    </row>
    <row r="6" spans="1:6">
      <c r="A6" t="s">
        <v>12</v>
      </c>
      <c r="B6" s="1" t="s">
        <v>13</v>
      </c>
      <c r="C6" s="7">
        <v>16908.29</v>
      </c>
      <c r="D6" s="7">
        <f t="shared" si="0"/>
        <v>172.170000000002</v>
      </c>
      <c r="E6" s="9">
        <v>11</v>
      </c>
      <c r="F6" s="9"/>
    </row>
    <row r="7" spans="1:6">
      <c r="A7" t="s">
        <v>14</v>
      </c>
      <c r="B7" s="1" t="s">
        <v>15</v>
      </c>
      <c r="C7" s="7">
        <v>16786.41</v>
      </c>
      <c r="D7" s="7">
        <f t="shared" si="0"/>
        <v>50.2900000000009</v>
      </c>
      <c r="E7" s="9">
        <v>5</v>
      </c>
      <c r="F7" s="9"/>
    </row>
    <row r="8" spans="1:6">
      <c r="A8" t="s">
        <v>16</v>
      </c>
      <c r="B8" s="1" t="s">
        <v>17</v>
      </c>
      <c r="C8" s="7">
        <v>17269.13</v>
      </c>
      <c r="D8" s="7">
        <f t="shared" si="0"/>
        <v>533.010000000002</v>
      </c>
      <c r="E8" s="9">
        <v>17</v>
      </c>
      <c r="F8" s="9"/>
    </row>
    <row r="9" spans="1:6">
      <c r="A9" t="s">
        <v>18</v>
      </c>
      <c r="B9" s="1" t="s">
        <v>19</v>
      </c>
      <c r="C9" s="7">
        <v>16969.28</v>
      </c>
      <c r="D9" s="7">
        <f t="shared" si="0"/>
        <v>233.16</v>
      </c>
      <c r="E9" s="9">
        <v>13</v>
      </c>
      <c r="F9" s="9"/>
    </row>
    <row r="10" s="17" customFormat="1" spans="1:6">
      <c r="A10" s="17" t="s">
        <v>20</v>
      </c>
      <c r="B10" s="20" t="s">
        <v>21</v>
      </c>
      <c r="C10" s="7">
        <v>17637.81</v>
      </c>
      <c r="D10" s="19">
        <f t="shared" si="0"/>
        <v>901.690000000002</v>
      </c>
      <c r="E10" s="17">
        <v>21</v>
      </c>
    </row>
    <row r="11" s="17" customFormat="1" spans="1:6">
      <c r="A11" s="17" t="s">
        <v>22</v>
      </c>
      <c r="B11" s="21" t="s">
        <v>23</v>
      </c>
      <c r="C11" s="7">
        <v>16999.91</v>
      </c>
      <c r="D11" s="19">
        <f t="shared" si="0"/>
        <v>263.790000000001</v>
      </c>
      <c r="E11" s="17">
        <v>14</v>
      </c>
    </row>
    <row r="12" s="17" customFormat="1" spans="1:6">
      <c r="A12" s="18" t="s">
        <v>24</v>
      </c>
      <c r="B12" s="17" t="s">
        <v>25</v>
      </c>
      <c r="C12" s="7">
        <v>17589.8</v>
      </c>
      <c r="D12" s="19">
        <f t="shared" si="0"/>
        <v>853.68</v>
      </c>
      <c r="E12" s="17">
        <v>20</v>
      </c>
    </row>
    <row r="13" s="17" customFormat="1" spans="1:6">
      <c r="A13" s="18" t="s">
        <v>26</v>
      </c>
      <c r="B13" s="17" t="s">
        <v>27</v>
      </c>
      <c r="C13" s="7">
        <v>17163.41</v>
      </c>
      <c r="D13" s="19">
        <f t="shared" si="0"/>
        <v>427.290000000001</v>
      </c>
      <c r="E13" s="17">
        <v>16</v>
      </c>
    </row>
    <row r="14" s="17" customFormat="1" spans="1:6">
      <c r="A14" s="17" t="s">
        <v>36</v>
      </c>
      <c r="B14" s="18" t="s">
        <v>37</v>
      </c>
      <c r="C14" s="7">
        <v>17572.58</v>
      </c>
      <c r="D14" s="19">
        <f t="shared" si="0"/>
        <v>836.460000000003</v>
      </c>
      <c r="E14" s="17">
        <v>18</v>
      </c>
    </row>
    <row r="15" s="17" customFormat="1" spans="1:6">
      <c r="A15" s="17" t="s">
        <v>38</v>
      </c>
      <c r="B15" s="18" t="s">
        <v>39</v>
      </c>
      <c r="C15" s="7">
        <v>16739.16</v>
      </c>
      <c r="D15" s="19">
        <f t="shared" si="0"/>
        <v>3.04000000000087</v>
      </c>
      <c r="E15" s="17">
        <v>3</v>
      </c>
    </row>
    <row r="16" s="17" customFormat="1" spans="1:6">
      <c r="A16" s="17" t="s">
        <v>40</v>
      </c>
      <c r="B16" s="18" t="s">
        <v>41</v>
      </c>
      <c r="C16" s="7">
        <v>16855.77</v>
      </c>
      <c r="D16" s="19">
        <f t="shared" si="0"/>
        <v>119.650000000001</v>
      </c>
      <c r="E16" s="17">
        <v>9</v>
      </c>
    </row>
    <row r="17" s="17" customFormat="1" spans="1:5">
      <c r="A17" s="17" t="s">
        <v>42</v>
      </c>
      <c r="B17" s="18" t="s">
        <v>43</v>
      </c>
      <c r="C17" s="7">
        <v>16800.74</v>
      </c>
      <c r="D17" s="19">
        <f t="shared" si="0"/>
        <v>64.6200000000026</v>
      </c>
      <c r="E17" s="17">
        <v>6</v>
      </c>
    </row>
    <row r="18" s="16" customFormat="1" spans="1:5">
      <c r="A18" s="22" t="s">
        <v>45</v>
      </c>
      <c r="B18" s="12" t="s">
        <v>46</v>
      </c>
      <c r="C18" s="7">
        <v>16856.45</v>
      </c>
      <c r="D18" s="19">
        <f t="shared" si="0"/>
        <v>120.330000000002</v>
      </c>
      <c r="E18" s="16">
        <v>10</v>
      </c>
    </row>
    <row r="19" s="16" customFormat="1" spans="1:5">
      <c r="A19" s="22" t="s">
        <v>47</v>
      </c>
      <c r="B19" s="12" t="s">
        <v>48</v>
      </c>
      <c r="C19" s="7">
        <v>16736.12</v>
      </c>
      <c r="D19" s="19">
        <f t="shared" si="0"/>
        <v>0</v>
      </c>
      <c r="E19" s="16">
        <v>1</v>
      </c>
    </row>
    <row r="20" s="16" customFormat="1" spans="1:5">
      <c r="A20" s="22" t="s">
        <v>49</v>
      </c>
      <c r="B20" s="12" t="s">
        <v>50</v>
      </c>
      <c r="C20" s="7">
        <v>16741.74</v>
      </c>
      <c r="D20" s="19">
        <f t="shared" si="0"/>
        <v>5.62000000000262</v>
      </c>
      <c r="E20" s="16">
        <v>4</v>
      </c>
    </row>
    <row r="21" s="16" customFormat="1" spans="1:5">
      <c r="A21" s="22" t="s">
        <v>51</v>
      </c>
      <c r="B21" s="12" t="s">
        <v>52</v>
      </c>
      <c r="C21" s="7">
        <v>17575.4</v>
      </c>
      <c r="D21" s="19">
        <f t="shared" si="0"/>
        <v>839.280000000002</v>
      </c>
      <c r="E21" s="16">
        <v>19</v>
      </c>
    </row>
    <row r="22" s="16" customFormat="1" spans="1:5">
      <c r="A22" s="22" t="s">
        <v>53</v>
      </c>
      <c r="B22" s="12" t="s">
        <v>54</v>
      </c>
      <c r="C22" s="7">
        <v>16806.23</v>
      </c>
      <c r="D22" s="19">
        <f t="shared" si="0"/>
        <v>70.1100000000006</v>
      </c>
      <c r="E22" s="16">
        <v>7</v>
      </c>
    </row>
    <row r="23" s="16" customFormat="1" spans="1:5">
      <c r="A23" s="12" t="s">
        <v>55</v>
      </c>
      <c r="B23" s="12" t="s">
        <v>56</v>
      </c>
      <c r="C23" s="7">
        <v>19761.74</v>
      </c>
      <c r="D23" s="19">
        <f t="shared" si="0"/>
        <v>3025.62</v>
      </c>
      <c r="E23" s="16">
        <v>22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C8" sqref="A1:F13"/>
    </sheetView>
  </sheetViews>
  <sheetFormatPr defaultColWidth="9" defaultRowHeight="17.4" outlineLevelCol="5"/>
  <cols>
    <col min="1" max="1" width="9.5" customWidth="1"/>
    <col min="2" max="3" width="28.6666666666667" customWidth="1"/>
    <col min="4" max="5" width="14.1666666666667" style="2" customWidth="1"/>
  </cols>
  <sheetData>
    <row r="1" spans="1:6">
      <c r="A1" t="s">
        <v>0</v>
      </c>
      <c r="B1" t="s">
        <v>1</v>
      </c>
      <c r="D1" s="2" t="s">
        <v>2</v>
      </c>
      <c r="E1" s="3" t="s">
        <v>44</v>
      </c>
      <c r="F1" s="1" t="s">
        <v>3</v>
      </c>
    </row>
    <row r="2" s="9" customFormat="1" spans="1:6">
      <c r="A2" s="9" t="s">
        <v>4</v>
      </c>
      <c r="B2" s="4" t="s">
        <v>5</v>
      </c>
      <c r="C2" s="6" t="s">
        <v>57</v>
      </c>
      <c r="D2" s="7">
        <v>17019.23</v>
      </c>
      <c r="E2" s="7">
        <f>D2-D$3</f>
        <v>280.439999999999</v>
      </c>
      <c r="F2" s="9">
        <v>9</v>
      </c>
    </row>
    <row r="3" s="16" customFormat="1" spans="1:6">
      <c r="A3" s="16" t="s">
        <v>6</v>
      </c>
      <c r="B3" s="12" t="s">
        <v>7</v>
      </c>
      <c r="C3" s="6" t="s">
        <v>57</v>
      </c>
      <c r="D3" s="14">
        <v>16738.79</v>
      </c>
      <c r="E3" s="14">
        <f>D3-D$3</f>
        <v>0</v>
      </c>
      <c r="F3" s="16">
        <v>1</v>
      </c>
    </row>
    <row r="4" s="9" customFormat="1" spans="1:6">
      <c r="A4" s="9" t="s">
        <v>8</v>
      </c>
      <c r="B4" s="4" t="s">
        <v>9</v>
      </c>
      <c r="C4" s="6" t="s">
        <v>57</v>
      </c>
      <c r="D4" s="7">
        <v>16952.02</v>
      </c>
      <c r="E4" s="7">
        <f t="shared" ref="E4:E13" si="0">D4-D$3</f>
        <v>213.23</v>
      </c>
      <c r="F4" s="9">
        <v>6</v>
      </c>
    </row>
    <row r="5" s="9" customFormat="1" spans="1:6">
      <c r="A5" s="9" t="s">
        <v>10</v>
      </c>
      <c r="B5" s="4" t="s">
        <v>11</v>
      </c>
      <c r="C5" s="6" t="s">
        <v>57</v>
      </c>
      <c r="D5" s="7">
        <v>16834.64</v>
      </c>
      <c r="E5" s="7">
        <f t="shared" si="0"/>
        <v>95.8499999999985</v>
      </c>
      <c r="F5" s="9">
        <v>3</v>
      </c>
    </row>
    <row r="6" s="9" customFormat="1" spans="1:6">
      <c r="A6" s="9" t="s">
        <v>20</v>
      </c>
      <c r="B6" s="5" t="s">
        <v>58</v>
      </c>
      <c r="C6" s="6" t="s">
        <v>59</v>
      </c>
      <c r="D6" s="7">
        <v>17637.81</v>
      </c>
      <c r="E6" s="7">
        <f t="shared" si="0"/>
        <v>899.02</v>
      </c>
      <c r="F6" s="9">
        <v>14</v>
      </c>
    </row>
    <row r="7" s="9" customFormat="1" spans="1:6">
      <c r="A7" s="9" t="s">
        <v>22</v>
      </c>
      <c r="B7" s="8" t="s">
        <v>60</v>
      </c>
      <c r="C7" s="6" t="s">
        <v>59</v>
      </c>
      <c r="D7" s="7">
        <v>16999.91</v>
      </c>
      <c r="E7" s="7">
        <f t="shared" si="0"/>
        <v>261.119999999999</v>
      </c>
      <c r="F7" s="9">
        <v>8</v>
      </c>
    </row>
    <row r="8" s="9" customFormat="1" spans="1:6">
      <c r="A8" s="4" t="s">
        <v>24</v>
      </c>
      <c r="B8" s="9" t="s">
        <v>25</v>
      </c>
      <c r="C8" s="6" t="s">
        <v>59</v>
      </c>
      <c r="D8" s="7">
        <v>17589.8</v>
      </c>
      <c r="E8" s="7">
        <f t="shared" si="0"/>
        <v>851.009999999998</v>
      </c>
      <c r="F8" s="9">
        <v>13</v>
      </c>
    </row>
    <row r="9" s="9" customFormat="1" spans="1:6">
      <c r="A9" s="4" t="s">
        <v>26</v>
      </c>
      <c r="B9" s="4" t="s">
        <v>27</v>
      </c>
      <c r="C9" s="4" t="s">
        <v>61</v>
      </c>
      <c r="D9" s="7">
        <v>17163.41</v>
      </c>
      <c r="E9" s="7">
        <f t="shared" si="0"/>
        <v>424.619999999999</v>
      </c>
      <c r="F9" s="9">
        <v>10</v>
      </c>
    </row>
    <row r="10" s="9" customFormat="1" spans="1:6">
      <c r="A10" s="4" t="s">
        <v>62</v>
      </c>
      <c r="B10" s="4" t="s">
        <v>63</v>
      </c>
      <c r="C10" s="4" t="s">
        <v>61</v>
      </c>
      <c r="D10" s="7"/>
      <c r="E10" s="7"/>
    </row>
    <row r="11" s="9" customFormat="1" spans="1:6">
      <c r="A11" s="4" t="s">
        <v>64</v>
      </c>
      <c r="B11" s="4" t="s">
        <v>65</v>
      </c>
      <c r="C11" s="4" t="s">
        <v>66</v>
      </c>
      <c r="D11" s="7"/>
      <c r="E11" s="7"/>
    </row>
    <row r="12" s="9" customFormat="1" spans="1:6">
      <c r="A12" s="10" t="s">
        <v>45</v>
      </c>
      <c r="B12" s="4" t="s">
        <v>46</v>
      </c>
      <c r="C12" s="6" t="s">
        <v>57</v>
      </c>
      <c r="D12" s="7">
        <v>16856.45</v>
      </c>
      <c r="E12" s="7">
        <f t="shared" si="0"/>
        <v>117.66</v>
      </c>
      <c r="F12" s="9">
        <v>4</v>
      </c>
    </row>
    <row r="13" s="9" customFormat="1" spans="1:6">
      <c r="A13" s="10" t="s">
        <v>51</v>
      </c>
      <c r="B13" s="4" t="s">
        <v>52</v>
      </c>
      <c r="C13" s="6" t="s">
        <v>57</v>
      </c>
      <c r="D13" s="7">
        <v>17575.4</v>
      </c>
      <c r="E13" s="7">
        <f t="shared" si="0"/>
        <v>836.610000000001</v>
      </c>
      <c r="F13" s="9">
        <v>12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$1:F$1048576"/>
    </sheetView>
  </sheetViews>
  <sheetFormatPr defaultColWidth="9" defaultRowHeight="17.4" outlineLevelCol="5"/>
  <cols>
    <col min="1" max="1" width="9.66666666666667" customWidth="1"/>
    <col min="2" max="2" width="22.1666666666667" customWidth="1"/>
    <col min="3" max="3" width="26.1666666666667" customWidth="1"/>
    <col min="4" max="4" width="9.66666666666667" customWidth="1"/>
    <col min="5" max="5" width="10.6666666666667" customWidth="1"/>
  </cols>
  <sheetData>
    <row r="1" spans="1:6">
      <c r="A1" t="s">
        <v>0</v>
      </c>
      <c r="B1" t="s">
        <v>1</v>
      </c>
      <c r="D1" s="2" t="s">
        <v>2</v>
      </c>
      <c r="E1" s="3" t="s">
        <v>44</v>
      </c>
      <c r="F1" s="1" t="s">
        <v>3</v>
      </c>
    </row>
    <row r="2" spans="1:6">
      <c r="A2" s="9" t="s">
        <v>4</v>
      </c>
      <c r="B2" s="4" t="s">
        <v>5</v>
      </c>
      <c r="C2" s="6" t="s">
        <v>57</v>
      </c>
      <c r="D2" s="7">
        <v>17019.23</v>
      </c>
      <c r="E2" s="7">
        <f>D2-D$3</f>
        <v>280.439999999999</v>
      </c>
      <c r="F2">
        <v>5</v>
      </c>
    </row>
    <row r="3" spans="1:6">
      <c r="A3" s="16" t="s">
        <v>6</v>
      </c>
      <c r="B3" s="12" t="s">
        <v>7</v>
      </c>
      <c r="C3" s="6" t="s">
        <v>57</v>
      </c>
      <c r="D3" s="13">
        <v>16738.79</v>
      </c>
      <c r="E3" s="14">
        <f>D3-D$3</f>
        <v>0</v>
      </c>
      <c r="F3">
        <v>1</v>
      </c>
    </row>
    <row r="4" spans="1:6">
      <c r="A4" s="9" t="s">
        <v>8</v>
      </c>
      <c r="B4" s="4" t="s">
        <v>9</v>
      </c>
      <c r="C4" s="6" t="s">
        <v>57</v>
      </c>
      <c r="D4" s="7">
        <v>16952.02</v>
      </c>
      <c r="E4" s="7">
        <f t="shared" ref="E4:E13" si="0">D4-D$3</f>
        <v>213.23</v>
      </c>
      <c r="F4">
        <v>4</v>
      </c>
    </row>
    <row r="5" spans="1:6">
      <c r="A5" s="9" t="s">
        <v>10</v>
      </c>
      <c r="B5" s="4" t="s">
        <v>11</v>
      </c>
      <c r="C5" s="6" t="s">
        <v>57</v>
      </c>
      <c r="D5" s="7">
        <v>16834.64</v>
      </c>
      <c r="E5" s="7">
        <f t="shared" si="0"/>
        <v>95.8499999999985</v>
      </c>
      <c r="F5">
        <v>2</v>
      </c>
    </row>
    <row r="6" spans="1:6">
      <c r="A6" s="9" t="s">
        <v>20</v>
      </c>
      <c r="B6" s="5" t="s">
        <v>58</v>
      </c>
      <c r="C6" s="6" t="s">
        <v>59</v>
      </c>
      <c r="D6" s="7">
        <v>17637.81</v>
      </c>
      <c r="E6" s="7">
        <f t="shared" si="0"/>
        <v>899.02</v>
      </c>
      <c r="F6">
        <v>10</v>
      </c>
    </row>
    <row r="7" spans="1:6">
      <c r="A7" s="9" t="s">
        <v>22</v>
      </c>
      <c r="B7" s="8" t="s">
        <v>60</v>
      </c>
      <c r="C7" s="6" t="s">
        <v>59</v>
      </c>
      <c r="D7" s="7">
        <v>16999.91</v>
      </c>
      <c r="E7" s="7">
        <f t="shared" si="0"/>
        <v>261.119999999999</v>
      </c>
      <c r="F7">
        <v>6</v>
      </c>
    </row>
    <row r="8" spans="1:6">
      <c r="A8" s="4" t="s">
        <v>24</v>
      </c>
      <c r="B8" s="9" t="s">
        <v>25</v>
      </c>
      <c r="C8" s="6" t="s">
        <v>59</v>
      </c>
      <c r="D8" s="7">
        <v>17589.8</v>
      </c>
      <c r="E8" s="7">
        <f t="shared" si="0"/>
        <v>851.009999999998</v>
      </c>
      <c r="F8">
        <v>9</v>
      </c>
    </row>
    <row r="9" spans="1:6">
      <c r="A9" s="4" t="s">
        <v>26</v>
      </c>
      <c r="B9" s="4" t="s">
        <v>27</v>
      </c>
      <c r="C9" s="4" t="s">
        <v>61</v>
      </c>
      <c r="D9" s="7">
        <v>17163.41</v>
      </c>
      <c r="E9" s="7">
        <f t="shared" si="0"/>
        <v>424.619999999999</v>
      </c>
      <c r="F9">
        <v>7</v>
      </c>
    </row>
    <row r="10" spans="1:6">
      <c r="A10" s="4" t="s">
        <v>62</v>
      </c>
      <c r="B10" s="4" t="s">
        <v>63</v>
      </c>
      <c r="C10" s="4" t="s">
        <v>61</v>
      </c>
      <c r="D10" s="7">
        <v>19155.9</v>
      </c>
      <c r="E10" s="7">
        <f t="shared" si="0"/>
        <v>2417.11</v>
      </c>
      <c r="F10">
        <v>12</v>
      </c>
    </row>
    <row r="11" spans="1:6">
      <c r="A11" s="4" t="s">
        <v>64</v>
      </c>
      <c r="B11" s="4" t="s">
        <v>65</v>
      </c>
      <c r="C11" s="4" t="s">
        <v>66</v>
      </c>
      <c r="D11" s="7">
        <v>18756.63</v>
      </c>
      <c r="E11" s="7">
        <f t="shared" si="0"/>
        <v>2017.84</v>
      </c>
      <c r="F11">
        <v>11</v>
      </c>
    </row>
    <row r="12" spans="1:6">
      <c r="A12" s="10" t="s">
        <v>45</v>
      </c>
      <c r="B12" s="4" t="s">
        <v>46</v>
      </c>
      <c r="C12" s="6" t="s">
        <v>57</v>
      </c>
      <c r="D12" s="7">
        <v>16856.45</v>
      </c>
      <c r="E12" s="7">
        <f t="shared" si="0"/>
        <v>117.66</v>
      </c>
      <c r="F12">
        <v>3</v>
      </c>
    </row>
    <row r="13" spans="1:6">
      <c r="A13" s="10" t="s">
        <v>51</v>
      </c>
      <c r="B13" s="4" t="s">
        <v>52</v>
      </c>
      <c r="C13" s="6" t="s">
        <v>57</v>
      </c>
      <c r="D13" s="7">
        <v>17575.4</v>
      </c>
      <c r="E13" s="7">
        <f t="shared" si="0"/>
        <v>836.610000000001</v>
      </c>
      <c r="F13">
        <v>8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H8" sqref="H8"/>
    </sheetView>
  </sheetViews>
  <sheetFormatPr defaultColWidth="9" defaultRowHeight="17.4" outlineLevelCol="6"/>
  <cols>
    <col min="1" max="2" width="9.66666666666667" customWidth="1"/>
    <col min="3" max="3" width="22.1666666666667" customWidth="1"/>
    <col min="4" max="4" width="26.1666666666667" customWidth="1"/>
    <col min="5" max="5" width="9.66666666666667" customWidth="1"/>
    <col min="6" max="6" width="10.6666666666667" customWidth="1"/>
  </cols>
  <sheetData>
    <row r="1" spans="1:7">
      <c r="A1" s="1" t="s">
        <v>67</v>
      </c>
      <c r="B1" s="1" t="s">
        <v>68</v>
      </c>
      <c r="C1" t="s">
        <v>1</v>
      </c>
      <c r="E1" s="2" t="s">
        <v>2</v>
      </c>
      <c r="F1" s="3" t="s">
        <v>69</v>
      </c>
      <c r="G1" s="1" t="s">
        <v>3</v>
      </c>
    </row>
    <row r="2" spans="1:7">
      <c r="A2" s="4" t="s">
        <v>70</v>
      </c>
      <c r="B2" s="4" t="s">
        <v>71</v>
      </c>
      <c r="C2" s="5" t="s">
        <v>58</v>
      </c>
      <c r="D2" s="6" t="s">
        <v>59</v>
      </c>
      <c r="E2" s="7">
        <v>17637.81</v>
      </c>
      <c r="F2" s="7">
        <f>E2-E$12</f>
        <v>899.02</v>
      </c>
      <c r="G2">
        <v>10</v>
      </c>
    </row>
    <row r="3" spans="1:7">
      <c r="A3" s="4" t="s">
        <v>72</v>
      </c>
      <c r="B3" s="4" t="s">
        <v>71</v>
      </c>
      <c r="C3" s="8" t="s">
        <v>60</v>
      </c>
      <c r="D3" s="6" t="s">
        <v>59</v>
      </c>
      <c r="E3" s="7">
        <v>16999.91</v>
      </c>
      <c r="F3" s="7">
        <f>E3-E$12</f>
        <v>261.119999999999</v>
      </c>
      <c r="G3">
        <v>6</v>
      </c>
    </row>
    <row r="4" spans="1:7">
      <c r="A4" s="4" t="s">
        <v>73</v>
      </c>
      <c r="B4" s="4" t="s">
        <v>71</v>
      </c>
      <c r="C4" s="9" t="s">
        <v>25</v>
      </c>
      <c r="D4" s="6" t="s">
        <v>59</v>
      </c>
      <c r="E4" s="7">
        <v>17589.8</v>
      </c>
      <c r="F4" s="7">
        <f>E4-E$12</f>
        <v>851.009999999998</v>
      </c>
      <c r="G4">
        <v>9</v>
      </c>
    </row>
    <row r="5" spans="1:7">
      <c r="A5" s="10" t="s">
        <v>74</v>
      </c>
      <c r="B5" s="4" t="s">
        <v>75</v>
      </c>
      <c r="C5" s="1" t="s">
        <v>76</v>
      </c>
      <c r="D5" s="1" t="s">
        <v>77</v>
      </c>
      <c r="E5" s="15">
        <v>18768.29</v>
      </c>
      <c r="F5" s="15">
        <v>2029.51</v>
      </c>
    </row>
    <row r="6" spans="1:7">
      <c r="A6" s="10" t="s">
        <v>78</v>
      </c>
      <c r="B6" s="4" t="s">
        <v>75</v>
      </c>
      <c r="C6" s="1" t="s">
        <v>79</v>
      </c>
      <c r="D6" s="1" t="s">
        <v>77</v>
      </c>
      <c r="E6" s="11">
        <v>17167.22</v>
      </c>
      <c r="F6" s="7">
        <f>E6-E$12</f>
        <v>428.43</v>
      </c>
    </row>
    <row r="7" spans="1:7">
      <c r="A7" s="4" t="s">
        <v>80</v>
      </c>
      <c r="B7" s="4" t="s">
        <v>81</v>
      </c>
      <c r="C7" s="4" t="s">
        <v>5</v>
      </c>
      <c r="D7" s="6" t="s">
        <v>57</v>
      </c>
      <c r="E7" s="7">
        <v>17019.23</v>
      </c>
      <c r="F7" s="7">
        <f t="shared" ref="F7:F13" si="0">E7-E$12</f>
        <v>280.439999999999</v>
      </c>
      <c r="G7">
        <v>5</v>
      </c>
    </row>
    <row r="8" spans="1:7">
      <c r="A8" s="4" t="s">
        <v>82</v>
      </c>
      <c r="B8" s="4" t="s">
        <v>81</v>
      </c>
      <c r="C8" s="4" t="s">
        <v>52</v>
      </c>
      <c r="D8" s="6" t="s">
        <v>57</v>
      </c>
      <c r="E8" s="7">
        <v>17575.4</v>
      </c>
      <c r="F8" s="7">
        <f t="shared" si="0"/>
        <v>836.610000000001</v>
      </c>
      <c r="G8">
        <v>8</v>
      </c>
    </row>
    <row r="9" spans="1:7">
      <c r="A9" s="4" t="s">
        <v>83</v>
      </c>
      <c r="B9" s="4" t="s">
        <v>81</v>
      </c>
      <c r="C9" s="4" t="s">
        <v>9</v>
      </c>
      <c r="D9" s="6" t="s">
        <v>57</v>
      </c>
      <c r="E9" s="7">
        <v>16952.02</v>
      </c>
      <c r="F9" s="7">
        <f t="shared" si="0"/>
        <v>213.23</v>
      </c>
      <c r="G9">
        <v>4</v>
      </c>
    </row>
    <row r="10" spans="1:7">
      <c r="A10" s="4" t="s">
        <v>84</v>
      </c>
      <c r="B10" s="4" t="s">
        <v>81</v>
      </c>
      <c r="C10" s="4" t="s">
        <v>46</v>
      </c>
      <c r="D10" s="6" t="s">
        <v>57</v>
      </c>
      <c r="E10" s="7">
        <v>16856.45</v>
      </c>
      <c r="F10" s="7">
        <f t="shared" si="0"/>
        <v>117.66</v>
      </c>
      <c r="G10">
        <v>3</v>
      </c>
    </row>
    <row r="11" spans="1:7">
      <c r="A11" s="4" t="s">
        <v>85</v>
      </c>
      <c r="B11" s="4" t="s">
        <v>81</v>
      </c>
      <c r="C11" s="4" t="s">
        <v>11</v>
      </c>
      <c r="D11" s="6" t="s">
        <v>57</v>
      </c>
      <c r="E11" s="7">
        <v>16834.64</v>
      </c>
      <c r="F11" s="7">
        <f t="shared" si="0"/>
        <v>95.8499999999985</v>
      </c>
      <c r="G11">
        <v>2</v>
      </c>
    </row>
    <row r="12" spans="1:7">
      <c r="A12" s="12" t="s">
        <v>86</v>
      </c>
      <c r="B12" s="4" t="s">
        <v>81</v>
      </c>
      <c r="C12" s="12" t="s">
        <v>7</v>
      </c>
      <c r="D12" s="6" t="s">
        <v>57</v>
      </c>
      <c r="E12" s="13">
        <v>16738.79</v>
      </c>
      <c r="F12" s="14">
        <f t="shared" si="0"/>
        <v>0</v>
      </c>
      <c r="G12">
        <v>1</v>
      </c>
    </row>
    <row r="13" spans="1:7">
      <c r="A13" s="4" t="s">
        <v>87</v>
      </c>
      <c r="B13" s="4" t="s">
        <v>88</v>
      </c>
      <c r="C13" s="4" t="s">
        <v>63</v>
      </c>
      <c r="D13" s="4" t="s">
        <v>61</v>
      </c>
      <c r="E13" s="7">
        <v>19155.9</v>
      </c>
      <c r="F13" s="7">
        <f t="shared" si="0"/>
        <v>2417.11</v>
      </c>
      <c r="G13">
        <v>12</v>
      </c>
    </row>
    <row r="14" spans="1:7">
      <c r="A14" s="4" t="s">
        <v>89</v>
      </c>
      <c r="B14" s="4" t="s">
        <v>88</v>
      </c>
      <c r="C14" s="4" t="s">
        <v>27</v>
      </c>
      <c r="D14" s="4" t="s">
        <v>61</v>
      </c>
      <c r="E14" s="7">
        <v>17163.41</v>
      </c>
      <c r="F14" s="7">
        <f t="shared" ref="F14:F15" si="1">E14-E$12</f>
        <v>424.619999999999</v>
      </c>
      <c r="G14">
        <v>7</v>
      </c>
    </row>
    <row r="15" spans="1:7">
      <c r="A15" s="4" t="s">
        <v>90</v>
      </c>
      <c r="B15" s="4" t="s">
        <v>91</v>
      </c>
      <c r="C15" s="4" t="s">
        <v>65</v>
      </c>
      <c r="D15" s="4" t="s">
        <v>66</v>
      </c>
      <c r="E15" s="7">
        <v>18756.63</v>
      </c>
      <c r="F15" s="7">
        <f t="shared" si="1"/>
        <v>2017.84</v>
      </c>
      <c r="G15">
        <v>11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5"/>
    </sheetView>
  </sheetViews>
  <sheetFormatPr defaultColWidth="9" defaultRowHeight="17.4" outlineLevelCol="6"/>
  <sheetData>
    <row r="1" spans="1:7">
      <c r="A1" s="1" t="s">
        <v>67</v>
      </c>
      <c r="B1" s="1" t="s">
        <v>68</v>
      </c>
      <c r="C1" t="s">
        <v>1</v>
      </c>
      <c r="E1" s="2" t="s">
        <v>2</v>
      </c>
      <c r="F1" s="3" t="s">
        <v>69</v>
      </c>
      <c r="G1" s="1" t="s">
        <v>3</v>
      </c>
    </row>
    <row r="2" spans="1:7">
      <c r="A2" s="4" t="s">
        <v>70</v>
      </c>
      <c r="B2" s="4" t="s">
        <v>71</v>
      </c>
      <c r="C2" s="5" t="s">
        <v>58</v>
      </c>
      <c r="D2" s="6" t="s">
        <v>59</v>
      </c>
      <c r="E2" s="7">
        <v>17637.81</v>
      </c>
      <c r="F2" s="7">
        <f>E2-E$12</f>
        <v>899.02</v>
      </c>
      <c r="G2">
        <v>10</v>
      </c>
    </row>
    <row r="3" spans="1:7">
      <c r="A3" s="4" t="s">
        <v>72</v>
      </c>
      <c r="B3" s="4" t="s">
        <v>71</v>
      </c>
      <c r="C3" s="8" t="s">
        <v>60</v>
      </c>
      <c r="D3" s="6" t="s">
        <v>59</v>
      </c>
      <c r="E3" s="7">
        <v>16999.91</v>
      </c>
      <c r="F3" s="7">
        <f>E3-E$12</f>
        <v>261.119999999999</v>
      </c>
      <c r="G3">
        <v>6</v>
      </c>
    </row>
    <row r="4" spans="1:7">
      <c r="A4" s="4" t="s">
        <v>73</v>
      </c>
      <c r="B4" s="4" t="s">
        <v>71</v>
      </c>
      <c r="C4" s="9" t="s">
        <v>25</v>
      </c>
      <c r="D4" s="6" t="s">
        <v>59</v>
      </c>
      <c r="E4" s="7">
        <v>17589.8</v>
      </c>
      <c r="F4" s="7">
        <f>E4-E$12</f>
        <v>851.009999999998</v>
      </c>
      <c r="G4">
        <v>9</v>
      </c>
    </row>
    <row r="5" spans="1:7">
      <c r="A5" s="10" t="s">
        <v>74</v>
      </c>
      <c r="B5" s="4" t="s">
        <v>75</v>
      </c>
      <c r="C5" s="1" t="s">
        <v>79</v>
      </c>
      <c r="D5" s="1" t="s">
        <v>77</v>
      </c>
      <c r="E5" s="11">
        <v>17167.22</v>
      </c>
      <c r="F5" s="7">
        <f>E5-E$12</f>
        <v>428.43</v>
      </c>
    </row>
    <row r="6" spans="1:7">
      <c r="A6" s="10" t="s">
        <v>74</v>
      </c>
      <c r="B6" s="4" t="s">
        <v>75</v>
      </c>
      <c r="C6" s="1" t="s">
        <v>76</v>
      </c>
      <c r="D6" s="1" t="s">
        <v>77</v>
      </c>
      <c r="E6" s="7">
        <v>1</v>
      </c>
      <c r="F6">
        <v>1</v>
      </c>
    </row>
    <row r="7" spans="1:7">
      <c r="A7" s="4" t="s">
        <v>80</v>
      </c>
      <c r="B7" s="4" t="s">
        <v>81</v>
      </c>
      <c r="C7" s="4" t="s">
        <v>5</v>
      </c>
      <c r="D7" s="6" t="s">
        <v>57</v>
      </c>
      <c r="E7" s="7">
        <v>17019.23</v>
      </c>
      <c r="F7" s="7">
        <f t="shared" ref="F7:F13" si="0">E7-E$12</f>
        <v>280.439999999999</v>
      </c>
      <c r="G7">
        <v>5</v>
      </c>
    </row>
    <row r="8" spans="1:7">
      <c r="A8" s="4" t="s">
        <v>82</v>
      </c>
      <c r="B8" s="4" t="s">
        <v>81</v>
      </c>
      <c r="C8" s="4" t="s">
        <v>52</v>
      </c>
      <c r="D8" s="6" t="s">
        <v>57</v>
      </c>
      <c r="E8" s="7">
        <v>17575.4</v>
      </c>
      <c r="F8" s="7">
        <f t="shared" si="0"/>
        <v>836.610000000001</v>
      </c>
      <c r="G8">
        <v>8</v>
      </c>
    </row>
    <row r="9" spans="1:7">
      <c r="A9" s="4" t="s">
        <v>83</v>
      </c>
      <c r="B9" s="4" t="s">
        <v>81</v>
      </c>
      <c r="C9" s="4" t="s">
        <v>9</v>
      </c>
      <c r="D9" s="6" t="s">
        <v>57</v>
      </c>
      <c r="E9" s="7">
        <v>16952.02</v>
      </c>
      <c r="F9" s="7">
        <f t="shared" si="0"/>
        <v>213.23</v>
      </c>
      <c r="G9">
        <v>4</v>
      </c>
    </row>
    <row r="10" spans="1:7">
      <c r="A10" s="4" t="s">
        <v>84</v>
      </c>
      <c r="B10" s="4" t="s">
        <v>81</v>
      </c>
      <c r="C10" s="4" t="s">
        <v>46</v>
      </c>
      <c r="D10" s="6" t="s">
        <v>57</v>
      </c>
      <c r="E10" s="7">
        <v>16856.45</v>
      </c>
      <c r="F10" s="7">
        <f t="shared" si="0"/>
        <v>117.66</v>
      </c>
      <c r="G10">
        <v>3</v>
      </c>
    </row>
    <row r="11" spans="1:7">
      <c r="A11" s="4" t="s">
        <v>85</v>
      </c>
      <c r="B11" s="4" t="s">
        <v>81</v>
      </c>
      <c r="C11" s="4" t="s">
        <v>11</v>
      </c>
      <c r="D11" s="6" t="s">
        <v>57</v>
      </c>
      <c r="E11" s="7">
        <v>16834.64</v>
      </c>
      <c r="F11" s="7">
        <f t="shared" si="0"/>
        <v>95.8499999999985</v>
      </c>
      <c r="G11">
        <v>2</v>
      </c>
    </row>
    <row r="12" spans="1:7">
      <c r="A12" s="12" t="s">
        <v>86</v>
      </c>
      <c r="B12" s="4" t="s">
        <v>81</v>
      </c>
      <c r="C12" s="12" t="s">
        <v>7</v>
      </c>
      <c r="D12" s="6" t="s">
        <v>57</v>
      </c>
      <c r="E12" s="13">
        <v>16738.79</v>
      </c>
      <c r="F12" s="14">
        <f t="shared" si="0"/>
        <v>0</v>
      </c>
      <c r="G12">
        <v>1</v>
      </c>
    </row>
    <row r="13" spans="1:7">
      <c r="A13" s="4" t="s">
        <v>87</v>
      </c>
      <c r="B13" s="4" t="s">
        <v>88</v>
      </c>
      <c r="C13" s="4" t="s">
        <v>63</v>
      </c>
      <c r="D13" s="4" t="s">
        <v>61</v>
      </c>
      <c r="E13" s="7">
        <v>19155.9</v>
      </c>
      <c r="F13" s="7">
        <f t="shared" si="0"/>
        <v>2417.11</v>
      </c>
      <c r="G13">
        <v>12</v>
      </c>
    </row>
    <row r="14" spans="1:7">
      <c r="A14" s="4" t="s">
        <v>89</v>
      </c>
      <c r="B14" s="4" t="s">
        <v>88</v>
      </c>
      <c r="C14" s="4" t="s">
        <v>27</v>
      </c>
      <c r="D14" s="4" t="s">
        <v>61</v>
      </c>
      <c r="E14" s="7">
        <v>17163.41</v>
      </c>
      <c r="F14" s="7">
        <f t="shared" ref="F14:F15" si="1">E14-E$12</f>
        <v>424.619999999999</v>
      </c>
      <c r="G14">
        <v>7</v>
      </c>
    </row>
    <row r="15" spans="1:7">
      <c r="A15" s="4" t="s">
        <v>90</v>
      </c>
      <c r="B15" s="4" t="s">
        <v>91</v>
      </c>
      <c r="C15" s="4" t="s">
        <v>65</v>
      </c>
      <c r="D15" s="4" t="s">
        <v>66</v>
      </c>
      <c r="E15" s="7">
        <v>18756.63</v>
      </c>
      <c r="F15" s="7">
        <f t="shared" si="1"/>
        <v>2017.84</v>
      </c>
      <c r="G15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ALL</vt:lpstr>
      <vt:lpstr>EXP2-2</vt:lpstr>
      <vt:lpstr>EXP3</vt:lpstr>
      <vt:lpstr>EXP3_0318</vt:lpstr>
      <vt:lpstr>EXP3_0419</vt:lpstr>
      <vt:lpstr>Sheet2</vt:lpstr>
      <vt:lpstr>0421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Xuqi Liu</dc:creator>
  <cp:lastModifiedBy>Leo</cp:lastModifiedBy>
  <dcterms:created xsi:type="dcterms:W3CDTF">2026-03-20T01:38:00Z</dcterms:created>
  <dcterms:modified xsi:type="dcterms:W3CDTF">2026-06-18T14:11:15Z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A5882AC67ED245ECBD91589C145B73F8_12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