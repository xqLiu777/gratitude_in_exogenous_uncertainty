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xq\jupyter\LeoResearch\paper2026\NHB_figs\01_data\"/>
    </mc:Choice>
  </mc:AlternateContent>
  <xr:revisionPtr revIDLastSave="0" documentId="13_ncr:1_{77286944-3656-4D01-A593-F3DBEA535DFF}" xr6:coauthVersionLast="47" xr6:coauthVersionMax="47" xr10:uidLastSave="{00000000-0000-0000-0000-000000000000}"/>
  <bookViews>
    <workbookView xWindow="8340" yWindow="3540" windowWidth="17376" windowHeight="12168" activeTab="1" xr2:uid="{F4BBCF6F-1D9D-488A-9F1C-63C19F5219E2}"/>
  </bookViews>
  <sheets>
    <sheet name="Sheet1" sheetId="2" r:id="rId1"/>
    <sheet name="Allocation" sheetId="1" r:id="rId2"/>
    <sheet name="Sheet2" sheetId="3" r:id="rId3"/>
  </sheets>
  <definedNames>
    <definedName name="_xlcn.WorksheetConnection_AllocationA1H739" hidden="1">Allocation!$A$1:$H$775</definedName>
  </definedNames>
  <calcPr calcId="191029"/>
  <pivotCaches>
    <pivotCache cacheId="28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区域" name="区域" connection="WorksheetConnection_Allocation!$A$1:$H$739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3" i="3" l="1"/>
  <c r="AD4" i="3"/>
  <c r="AD5" i="3"/>
  <c r="AD6" i="3"/>
  <c r="AD7" i="3"/>
  <c r="AD8" i="3"/>
  <c r="AD9" i="3"/>
  <c r="AD10" i="3"/>
  <c r="AD11" i="3"/>
  <c r="AD2" i="3"/>
  <c r="AB2" i="3"/>
  <c r="AB10" i="3"/>
  <c r="E2" i="3"/>
  <c r="AA2" i="3"/>
  <c r="AC2" i="3" s="1"/>
  <c r="AB11" i="3"/>
  <c r="AB8" i="3"/>
  <c r="AB9" i="3"/>
  <c r="AB6" i="3"/>
  <c r="AB7" i="3"/>
  <c r="AB4" i="3"/>
  <c r="AB5" i="3"/>
  <c r="AB3" i="3"/>
  <c r="AA3" i="3"/>
  <c r="AC3" i="3" s="1"/>
  <c r="AA4" i="3"/>
  <c r="AC4" i="3" s="1"/>
  <c r="AA5" i="3"/>
  <c r="AC5" i="3" s="1"/>
  <c r="AA6" i="3"/>
  <c r="AC6" i="3" s="1"/>
  <c r="AA7" i="3"/>
  <c r="AC7" i="3" s="1"/>
  <c r="AA8" i="3"/>
  <c r="AC8" i="3" s="1"/>
  <c r="AA9" i="3"/>
  <c r="AC9" i="3" s="1"/>
  <c r="AA10" i="3"/>
  <c r="AC10" i="3" s="1"/>
  <c r="AA11" i="3"/>
  <c r="AC11" i="3" s="1"/>
  <c r="E31" i="3"/>
  <c r="E21" i="3"/>
  <c r="E11" i="3"/>
  <c r="E29" i="3"/>
  <c r="E19" i="3"/>
  <c r="E9" i="3"/>
  <c r="E27" i="3"/>
  <c r="E17" i="3"/>
  <c r="E7" i="3"/>
  <c r="E25" i="3"/>
  <c r="E15" i="3"/>
  <c r="E5" i="3"/>
  <c r="E23" i="3"/>
  <c r="E13" i="3"/>
  <c r="E3" i="3"/>
  <c r="E30" i="3"/>
  <c r="E20" i="3"/>
  <c r="E10" i="3"/>
  <c r="E28" i="3"/>
  <c r="E18" i="3"/>
  <c r="E8" i="3"/>
  <c r="E26" i="3"/>
  <c r="E16" i="3"/>
  <c r="E6" i="3"/>
  <c r="E24" i="3"/>
  <c r="E14" i="3"/>
  <c r="E4" i="3"/>
  <c r="E22" i="3"/>
  <c r="E12" i="3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43" i="1"/>
  <c r="E61" i="1"/>
  <c r="E79" i="1"/>
  <c r="E97" i="1"/>
  <c r="E115" i="1"/>
  <c r="E133" i="1"/>
  <c r="E151" i="1"/>
  <c r="E169" i="1"/>
  <c r="E187" i="1"/>
  <c r="E205" i="1"/>
  <c r="E223" i="1"/>
  <c r="E241" i="1"/>
  <c r="E259" i="1"/>
  <c r="E277" i="1"/>
  <c r="E295" i="1"/>
  <c r="E313" i="1"/>
  <c r="E331" i="1"/>
  <c r="E349" i="1"/>
  <c r="E367" i="1"/>
  <c r="E385" i="1"/>
  <c r="E403" i="1"/>
  <c r="E421" i="1"/>
  <c r="E439" i="1"/>
  <c r="E457" i="1"/>
  <c r="E493" i="1"/>
  <c r="E511" i="1"/>
  <c r="E529" i="1"/>
  <c r="E547" i="1"/>
  <c r="E565" i="1"/>
  <c r="E583" i="1"/>
  <c r="E601" i="1"/>
  <c r="E619" i="1"/>
  <c r="E637" i="1"/>
  <c r="E655" i="1"/>
  <c r="E673" i="1"/>
  <c r="E691" i="1"/>
  <c r="E709" i="1"/>
  <c r="E727" i="1"/>
  <c r="E745" i="1"/>
  <c r="E763" i="1"/>
  <c r="E10" i="1"/>
  <c r="E46" i="1"/>
  <c r="E64" i="1"/>
  <c r="E82" i="1"/>
  <c r="E100" i="1"/>
  <c r="E118" i="1"/>
  <c r="E136" i="1"/>
  <c r="E154" i="1"/>
  <c r="E172" i="1"/>
  <c r="E190" i="1"/>
  <c r="E208" i="1"/>
  <c r="E226" i="1"/>
  <c r="E244" i="1"/>
  <c r="E262" i="1"/>
  <c r="E280" i="1"/>
  <c r="E298" i="1"/>
  <c r="E316" i="1"/>
  <c r="E334" i="1"/>
  <c r="E352" i="1"/>
  <c r="E370" i="1"/>
  <c r="E388" i="1"/>
  <c r="E406" i="1"/>
  <c r="E424" i="1"/>
  <c r="E442" i="1"/>
  <c r="E460" i="1"/>
  <c r="E496" i="1"/>
  <c r="E514" i="1"/>
  <c r="E532" i="1"/>
  <c r="E550" i="1"/>
  <c r="E568" i="1"/>
  <c r="E586" i="1"/>
  <c r="E604" i="1"/>
  <c r="E622" i="1"/>
  <c r="E640" i="1"/>
  <c r="E658" i="1"/>
  <c r="E676" i="1"/>
  <c r="E694" i="1"/>
  <c r="E712" i="1"/>
  <c r="E730" i="1"/>
  <c r="E748" i="1"/>
  <c r="E766" i="1"/>
  <c r="E13" i="1"/>
  <c r="E49" i="1"/>
  <c r="E67" i="1"/>
  <c r="E85" i="1"/>
  <c r="E103" i="1"/>
  <c r="E121" i="1"/>
  <c r="E139" i="1"/>
  <c r="E157" i="1"/>
  <c r="E175" i="1"/>
  <c r="E193" i="1"/>
  <c r="E211" i="1"/>
  <c r="E229" i="1"/>
  <c r="E247" i="1"/>
  <c r="E265" i="1"/>
  <c r="E283" i="1"/>
  <c r="E301" i="1"/>
  <c r="E319" i="1"/>
  <c r="E337" i="1"/>
  <c r="E355" i="1"/>
  <c r="E373" i="1"/>
  <c r="E391" i="1"/>
  <c r="E409" i="1"/>
  <c r="E427" i="1"/>
  <c r="E445" i="1"/>
  <c r="E463" i="1"/>
  <c r="E499" i="1"/>
  <c r="E517" i="1"/>
  <c r="E535" i="1"/>
  <c r="E553" i="1"/>
  <c r="E571" i="1"/>
  <c r="E589" i="1"/>
  <c r="E607" i="1"/>
  <c r="E625" i="1"/>
  <c r="E643" i="1"/>
  <c r="E661" i="1"/>
  <c r="E679" i="1"/>
  <c r="E697" i="1"/>
  <c r="E715" i="1"/>
  <c r="E733" i="1"/>
  <c r="E751" i="1"/>
  <c r="E769" i="1"/>
  <c r="E16" i="1"/>
  <c r="E52" i="1"/>
  <c r="E70" i="1"/>
  <c r="E88" i="1"/>
  <c r="E106" i="1"/>
  <c r="E124" i="1"/>
  <c r="E142" i="1"/>
  <c r="E160" i="1"/>
  <c r="E178" i="1"/>
  <c r="E196" i="1"/>
  <c r="E214" i="1"/>
  <c r="E232" i="1"/>
  <c r="E250" i="1"/>
  <c r="E268" i="1"/>
  <c r="E286" i="1"/>
  <c r="E304" i="1"/>
  <c r="E322" i="1"/>
  <c r="E340" i="1"/>
  <c r="E358" i="1"/>
  <c r="E376" i="1"/>
  <c r="E394" i="1"/>
  <c r="E412" i="1"/>
  <c r="E430" i="1"/>
  <c r="E448" i="1"/>
  <c r="E466" i="1"/>
  <c r="E502" i="1"/>
  <c r="E520" i="1"/>
  <c r="E538" i="1"/>
  <c r="E556" i="1"/>
  <c r="E574" i="1"/>
  <c r="E592" i="1"/>
  <c r="E610" i="1"/>
  <c r="E628" i="1"/>
  <c r="E646" i="1"/>
  <c r="E664" i="1"/>
  <c r="E682" i="1"/>
  <c r="E700" i="1"/>
  <c r="E718" i="1"/>
  <c r="E736" i="1"/>
  <c r="E754" i="1"/>
  <c r="E772" i="1"/>
  <c r="E19" i="1"/>
  <c r="E55" i="1"/>
  <c r="E73" i="1"/>
  <c r="E91" i="1"/>
  <c r="E109" i="1"/>
  <c r="E127" i="1"/>
  <c r="E145" i="1"/>
  <c r="E163" i="1"/>
  <c r="E181" i="1"/>
  <c r="E199" i="1"/>
  <c r="E217" i="1"/>
  <c r="E235" i="1"/>
  <c r="E253" i="1"/>
  <c r="E271" i="1"/>
  <c r="E289" i="1"/>
  <c r="E307" i="1"/>
  <c r="E325" i="1"/>
  <c r="E343" i="1"/>
  <c r="E361" i="1"/>
  <c r="E379" i="1"/>
  <c r="E397" i="1"/>
  <c r="E415" i="1"/>
  <c r="E433" i="1"/>
  <c r="E451" i="1"/>
  <c r="E469" i="1"/>
  <c r="E505" i="1"/>
  <c r="E523" i="1"/>
  <c r="E541" i="1"/>
  <c r="E559" i="1"/>
  <c r="E577" i="1"/>
  <c r="E595" i="1"/>
  <c r="E613" i="1"/>
  <c r="E631" i="1"/>
  <c r="E649" i="1"/>
  <c r="E667" i="1"/>
  <c r="E685" i="1"/>
  <c r="E703" i="1"/>
  <c r="E721" i="1"/>
  <c r="E739" i="1"/>
  <c r="E757" i="1"/>
  <c r="E775" i="1"/>
  <c r="E7" i="1"/>
  <c r="E5" i="1"/>
  <c r="E41" i="1"/>
  <c r="E59" i="1"/>
  <c r="E77" i="1"/>
  <c r="E95" i="1"/>
  <c r="E113" i="1"/>
  <c r="E131" i="1"/>
  <c r="E149" i="1"/>
  <c r="E167" i="1"/>
  <c r="E185" i="1"/>
  <c r="E203" i="1"/>
  <c r="E221" i="1"/>
  <c r="E239" i="1"/>
  <c r="E257" i="1"/>
  <c r="E275" i="1"/>
  <c r="E293" i="1"/>
  <c r="E311" i="1"/>
  <c r="E329" i="1"/>
  <c r="E347" i="1"/>
  <c r="E365" i="1"/>
  <c r="E383" i="1"/>
  <c r="E401" i="1"/>
  <c r="E419" i="1"/>
  <c r="E437" i="1"/>
  <c r="E455" i="1"/>
  <c r="E491" i="1"/>
  <c r="E509" i="1"/>
  <c r="E527" i="1"/>
  <c r="E545" i="1"/>
  <c r="E563" i="1"/>
  <c r="E581" i="1"/>
  <c r="E599" i="1"/>
  <c r="E617" i="1"/>
  <c r="E635" i="1"/>
  <c r="E653" i="1"/>
  <c r="E671" i="1"/>
  <c r="E689" i="1"/>
  <c r="E707" i="1"/>
  <c r="E725" i="1"/>
  <c r="E743" i="1"/>
  <c r="E761" i="1"/>
  <c r="E6" i="1"/>
  <c r="E42" i="1"/>
  <c r="E60" i="1"/>
  <c r="E78" i="1"/>
  <c r="E96" i="1"/>
  <c r="E114" i="1"/>
  <c r="E132" i="1"/>
  <c r="E150" i="1"/>
  <c r="E168" i="1"/>
  <c r="E186" i="1"/>
  <c r="E204" i="1"/>
  <c r="E222" i="1"/>
  <c r="E240" i="1"/>
  <c r="E258" i="1"/>
  <c r="E276" i="1"/>
  <c r="E294" i="1"/>
  <c r="E312" i="1"/>
  <c r="E330" i="1"/>
  <c r="E348" i="1"/>
  <c r="E366" i="1"/>
  <c r="E384" i="1"/>
  <c r="E402" i="1"/>
  <c r="E420" i="1"/>
  <c r="E438" i="1"/>
  <c r="E456" i="1"/>
  <c r="E492" i="1"/>
  <c r="E510" i="1"/>
  <c r="E528" i="1"/>
  <c r="E546" i="1"/>
  <c r="E564" i="1"/>
  <c r="E582" i="1"/>
  <c r="E600" i="1"/>
  <c r="E618" i="1"/>
  <c r="E636" i="1"/>
  <c r="E654" i="1"/>
  <c r="E672" i="1"/>
  <c r="E690" i="1"/>
  <c r="E708" i="1"/>
  <c r="E726" i="1"/>
  <c r="E744" i="1"/>
  <c r="E762" i="1"/>
  <c r="E8" i="1"/>
  <c r="E44" i="1"/>
  <c r="E62" i="1"/>
  <c r="E80" i="1"/>
  <c r="E98" i="1"/>
  <c r="E116" i="1"/>
  <c r="E134" i="1"/>
  <c r="E152" i="1"/>
  <c r="E170" i="1"/>
  <c r="E188" i="1"/>
  <c r="E206" i="1"/>
  <c r="E224" i="1"/>
  <c r="E242" i="1"/>
  <c r="E260" i="1"/>
  <c r="E278" i="1"/>
  <c r="E296" i="1"/>
  <c r="E314" i="1"/>
  <c r="E332" i="1"/>
  <c r="E350" i="1"/>
  <c r="E368" i="1"/>
  <c r="E386" i="1"/>
  <c r="E404" i="1"/>
  <c r="E422" i="1"/>
  <c r="E440" i="1"/>
  <c r="E458" i="1"/>
  <c r="E494" i="1"/>
  <c r="E512" i="1"/>
  <c r="E530" i="1"/>
  <c r="E548" i="1"/>
  <c r="E566" i="1"/>
  <c r="E584" i="1"/>
  <c r="E602" i="1"/>
  <c r="E620" i="1"/>
  <c r="E638" i="1"/>
  <c r="E656" i="1"/>
  <c r="E674" i="1"/>
  <c r="E692" i="1"/>
  <c r="E710" i="1"/>
  <c r="E728" i="1"/>
  <c r="E746" i="1"/>
  <c r="E764" i="1"/>
  <c r="E9" i="1"/>
  <c r="E45" i="1"/>
  <c r="E63" i="1"/>
  <c r="E81" i="1"/>
  <c r="E99" i="1"/>
  <c r="E117" i="1"/>
  <c r="E135" i="1"/>
  <c r="E153" i="1"/>
  <c r="E171" i="1"/>
  <c r="E189" i="1"/>
  <c r="E207" i="1"/>
  <c r="E225" i="1"/>
  <c r="E243" i="1"/>
  <c r="E261" i="1"/>
  <c r="E279" i="1"/>
  <c r="E297" i="1"/>
  <c r="E315" i="1"/>
  <c r="E333" i="1"/>
  <c r="E351" i="1"/>
  <c r="E369" i="1"/>
  <c r="E387" i="1"/>
  <c r="E405" i="1"/>
  <c r="E423" i="1"/>
  <c r="E441" i="1"/>
  <c r="E459" i="1"/>
  <c r="E495" i="1"/>
  <c r="E513" i="1"/>
  <c r="E531" i="1"/>
  <c r="E549" i="1"/>
  <c r="E567" i="1"/>
  <c r="E585" i="1"/>
  <c r="E603" i="1"/>
  <c r="E621" i="1"/>
  <c r="E639" i="1"/>
  <c r="E657" i="1"/>
  <c r="E675" i="1"/>
  <c r="E693" i="1"/>
  <c r="E711" i="1"/>
  <c r="E729" i="1"/>
  <c r="E747" i="1"/>
  <c r="E765" i="1"/>
  <c r="E11" i="1"/>
  <c r="E47" i="1"/>
  <c r="E65" i="1"/>
  <c r="E83" i="1"/>
  <c r="E101" i="1"/>
  <c r="E119" i="1"/>
  <c r="E137" i="1"/>
  <c r="E155" i="1"/>
  <c r="E173" i="1"/>
  <c r="E191" i="1"/>
  <c r="E209" i="1"/>
  <c r="E227" i="1"/>
  <c r="E245" i="1"/>
  <c r="E263" i="1"/>
  <c r="E281" i="1"/>
  <c r="E299" i="1"/>
  <c r="E317" i="1"/>
  <c r="E335" i="1"/>
  <c r="E353" i="1"/>
  <c r="E371" i="1"/>
  <c r="E389" i="1"/>
  <c r="E407" i="1"/>
  <c r="E425" i="1"/>
  <c r="E443" i="1"/>
  <c r="E461" i="1"/>
  <c r="E497" i="1"/>
  <c r="E515" i="1"/>
  <c r="E533" i="1"/>
  <c r="E551" i="1"/>
  <c r="E569" i="1"/>
  <c r="E587" i="1"/>
  <c r="E605" i="1"/>
  <c r="E623" i="1"/>
  <c r="E641" i="1"/>
  <c r="E659" i="1"/>
  <c r="E677" i="1"/>
  <c r="E695" i="1"/>
  <c r="E713" i="1"/>
  <c r="E731" i="1"/>
  <c r="E749" i="1"/>
  <c r="E767" i="1"/>
  <c r="E12" i="1"/>
  <c r="E48" i="1"/>
  <c r="E66" i="1"/>
  <c r="E84" i="1"/>
  <c r="E102" i="1"/>
  <c r="E120" i="1"/>
  <c r="E138" i="1"/>
  <c r="E156" i="1"/>
  <c r="E174" i="1"/>
  <c r="E192" i="1"/>
  <c r="E210" i="1"/>
  <c r="E228" i="1"/>
  <c r="E246" i="1"/>
  <c r="E264" i="1"/>
  <c r="E282" i="1"/>
  <c r="E300" i="1"/>
  <c r="E318" i="1"/>
  <c r="E336" i="1"/>
  <c r="E354" i="1"/>
  <c r="E372" i="1"/>
  <c r="E390" i="1"/>
  <c r="E408" i="1"/>
  <c r="E426" i="1"/>
  <c r="E444" i="1"/>
  <c r="E462" i="1"/>
  <c r="E498" i="1"/>
  <c r="E516" i="1"/>
  <c r="E534" i="1"/>
  <c r="E552" i="1"/>
  <c r="E570" i="1"/>
  <c r="E588" i="1"/>
  <c r="E606" i="1"/>
  <c r="E624" i="1"/>
  <c r="E642" i="1"/>
  <c r="E660" i="1"/>
  <c r="E678" i="1"/>
  <c r="E696" i="1"/>
  <c r="E714" i="1"/>
  <c r="E732" i="1"/>
  <c r="E750" i="1"/>
  <c r="E768" i="1"/>
  <c r="E14" i="1"/>
  <c r="E50" i="1"/>
  <c r="E68" i="1"/>
  <c r="E86" i="1"/>
  <c r="E104" i="1"/>
  <c r="E122" i="1"/>
  <c r="E140" i="1"/>
  <c r="E158" i="1"/>
  <c r="E176" i="1"/>
  <c r="E194" i="1"/>
  <c r="E212" i="1"/>
  <c r="E230" i="1"/>
  <c r="E248" i="1"/>
  <c r="E266" i="1"/>
  <c r="E284" i="1"/>
  <c r="E302" i="1"/>
  <c r="E320" i="1"/>
  <c r="E338" i="1"/>
  <c r="E356" i="1"/>
  <c r="E374" i="1"/>
  <c r="E392" i="1"/>
  <c r="E410" i="1"/>
  <c r="E428" i="1"/>
  <c r="E446" i="1"/>
  <c r="E464" i="1"/>
  <c r="E500" i="1"/>
  <c r="E518" i="1"/>
  <c r="E536" i="1"/>
  <c r="E554" i="1"/>
  <c r="E572" i="1"/>
  <c r="E590" i="1"/>
  <c r="E608" i="1"/>
  <c r="E626" i="1"/>
  <c r="E644" i="1"/>
  <c r="E662" i="1"/>
  <c r="E680" i="1"/>
  <c r="E698" i="1"/>
  <c r="E716" i="1"/>
  <c r="E734" i="1"/>
  <c r="E752" i="1"/>
  <c r="E770" i="1"/>
  <c r="E15" i="1"/>
  <c r="E51" i="1"/>
  <c r="E69" i="1"/>
  <c r="E87" i="1"/>
  <c r="E105" i="1"/>
  <c r="E123" i="1"/>
  <c r="E141" i="1"/>
  <c r="E159" i="1"/>
  <c r="E177" i="1"/>
  <c r="E195" i="1"/>
  <c r="E213" i="1"/>
  <c r="E231" i="1"/>
  <c r="E249" i="1"/>
  <c r="E267" i="1"/>
  <c r="E285" i="1"/>
  <c r="E303" i="1"/>
  <c r="E321" i="1"/>
  <c r="E339" i="1"/>
  <c r="E357" i="1"/>
  <c r="E375" i="1"/>
  <c r="E393" i="1"/>
  <c r="E411" i="1"/>
  <c r="E429" i="1"/>
  <c r="E447" i="1"/>
  <c r="E465" i="1"/>
  <c r="E501" i="1"/>
  <c r="E519" i="1"/>
  <c r="E537" i="1"/>
  <c r="E555" i="1"/>
  <c r="E573" i="1"/>
  <c r="E591" i="1"/>
  <c r="E609" i="1"/>
  <c r="E627" i="1"/>
  <c r="E645" i="1"/>
  <c r="E663" i="1"/>
  <c r="E681" i="1"/>
  <c r="E699" i="1"/>
  <c r="E717" i="1"/>
  <c r="E735" i="1"/>
  <c r="E753" i="1"/>
  <c r="E771" i="1"/>
  <c r="E17" i="1"/>
  <c r="E53" i="1"/>
  <c r="E71" i="1"/>
  <c r="E89" i="1"/>
  <c r="E107" i="1"/>
  <c r="E125" i="1"/>
  <c r="E143" i="1"/>
  <c r="E161" i="1"/>
  <c r="E179" i="1"/>
  <c r="E197" i="1"/>
  <c r="E215" i="1"/>
  <c r="E233" i="1"/>
  <c r="E251" i="1"/>
  <c r="E269" i="1"/>
  <c r="E287" i="1"/>
  <c r="E305" i="1"/>
  <c r="E323" i="1"/>
  <c r="E341" i="1"/>
  <c r="E359" i="1"/>
  <c r="E377" i="1"/>
  <c r="E395" i="1"/>
  <c r="E413" i="1"/>
  <c r="E431" i="1"/>
  <c r="E449" i="1"/>
  <c r="E467" i="1"/>
  <c r="E503" i="1"/>
  <c r="E521" i="1"/>
  <c r="E539" i="1"/>
  <c r="E557" i="1"/>
  <c r="E575" i="1"/>
  <c r="E593" i="1"/>
  <c r="E611" i="1"/>
  <c r="E629" i="1"/>
  <c r="E647" i="1"/>
  <c r="E665" i="1"/>
  <c r="E683" i="1"/>
  <c r="E701" i="1"/>
  <c r="E719" i="1"/>
  <c r="E737" i="1"/>
  <c r="E755" i="1"/>
  <c r="E773" i="1"/>
  <c r="E18" i="1"/>
  <c r="E54" i="1"/>
  <c r="E72" i="1"/>
  <c r="E90" i="1"/>
  <c r="E108" i="1"/>
  <c r="E126" i="1"/>
  <c r="E144" i="1"/>
  <c r="E162" i="1"/>
  <c r="E180" i="1"/>
  <c r="E198" i="1"/>
  <c r="E216" i="1"/>
  <c r="E234" i="1"/>
  <c r="E252" i="1"/>
  <c r="E270" i="1"/>
  <c r="E288" i="1"/>
  <c r="E306" i="1"/>
  <c r="E324" i="1"/>
  <c r="E342" i="1"/>
  <c r="E360" i="1"/>
  <c r="E378" i="1"/>
  <c r="E396" i="1"/>
  <c r="E414" i="1"/>
  <c r="E432" i="1"/>
  <c r="E450" i="1"/>
  <c r="E468" i="1"/>
  <c r="E504" i="1"/>
  <c r="E522" i="1"/>
  <c r="E540" i="1"/>
  <c r="E558" i="1"/>
  <c r="E576" i="1"/>
  <c r="E594" i="1"/>
  <c r="E612" i="1"/>
  <c r="E630" i="1"/>
  <c r="E648" i="1"/>
  <c r="E666" i="1"/>
  <c r="E684" i="1"/>
  <c r="E702" i="1"/>
  <c r="E720" i="1"/>
  <c r="E738" i="1"/>
  <c r="E756" i="1"/>
  <c r="E77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D4411C-81C1-49DE-8E3C-61BF48BDCD47}" keepAlive="1" name="ThisWorkbookDataModel" description="数据模型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F7514AA-B0AC-44AC-9A50-4F36DACB1F28}" name="WorksheetConnection_Allocation!$A$1:$H$739" type="102" refreshedVersion="7" minRefreshableVersion="5">
    <extLst>
      <ext xmlns:x15="http://schemas.microsoft.com/office/spreadsheetml/2010/11/main" uri="{DE250136-89BD-433C-8126-D09CA5730AF9}">
        <x15:connection id="区域">
          <x15:rangePr sourceName="_xlcn.WorksheetConnection_AllocationA1H739"/>
        </x15:connection>
      </ext>
    </extLst>
  </connection>
</connections>
</file>

<file path=xl/sharedStrings.xml><?xml version="1.0" encoding="utf-8"?>
<sst xmlns="http://schemas.openxmlformats.org/spreadsheetml/2006/main" count="3032" uniqueCount="38">
  <si>
    <t>Prediction</t>
    <phoneticPr fontId="1" type="noConversion"/>
  </si>
  <si>
    <t>Value</t>
    <phoneticPr fontId="1" type="noConversion"/>
  </si>
  <si>
    <t>SubID</t>
    <phoneticPr fontId="1" type="noConversion"/>
  </si>
  <si>
    <t>20%2+80%8</t>
  </si>
  <si>
    <t>20%2+80%8</t>
    <phoneticPr fontId="1" type="noConversion"/>
  </si>
  <si>
    <t>High_Prob</t>
    <phoneticPr fontId="1" type="noConversion"/>
  </si>
  <si>
    <t>40%2+60%8</t>
  </si>
  <si>
    <t>40%2+60%8</t>
    <phoneticPr fontId="1" type="noConversion"/>
  </si>
  <si>
    <t>50%2+50%8</t>
  </si>
  <si>
    <t>50%2+50%8</t>
    <phoneticPr fontId="1" type="noConversion"/>
  </si>
  <si>
    <t>80%2+20%8</t>
  </si>
  <si>
    <t>80%2+20%8</t>
    <phoneticPr fontId="1" type="noConversion"/>
  </si>
  <si>
    <t>60%2+40%8</t>
  </si>
  <si>
    <t>60%2+40%8</t>
    <phoneticPr fontId="1" type="noConversion"/>
  </si>
  <si>
    <t>Situation</t>
    <phoneticPr fontId="1" type="noConversion"/>
  </si>
  <si>
    <t>Stage</t>
    <phoneticPr fontId="1" type="noConversion"/>
  </si>
  <si>
    <t>After</t>
  </si>
  <si>
    <t>Before</t>
  </si>
  <si>
    <t>Cost-2</t>
  </si>
  <si>
    <t>Cost-8</t>
  </si>
  <si>
    <t>Cost</t>
    <phoneticPr fontId="1" type="noConversion"/>
  </si>
  <si>
    <t>Situation_1</t>
    <phoneticPr fontId="1" type="noConversion"/>
  </si>
  <si>
    <t>20%8</t>
  </si>
  <si>
    <t>20%8</t>
    <phoneticPr fontId="1" type="noConversion"/>
  </si>
  <si>
    <t>40%8</t>
  </si>
  <si>
    <t>40%8</t>
    <phoneticPr fontId="1" type="noConversion"/>
  </si>
  <si>
    <t>50%8</t>
  </si>
  <si>
    <t>50%8</t>
    <phoneticPr fontId="1" type="noConversion"/>
  </si>
  <si>
    <t>60%8</t>
  </si>
  <si>
    <t>60%8</t>
    <phoneticPr fontId="1" type="noConversion"/>
  </si>
  <si>
    <t>80%8</t>
  </si>
  <si>
    <t>80%8</t>
    <phoneticPr fontId="1" type="noConversion"/>
  </si>
  <si>
    <t>Uncertain/Cost-5</t>
  </si>
  <si>
    <t>行标签</t>
  </si>
  <si>
    <t>总计</t>
  </si>
  <si>
    <t>求和项:Value</t>
  </si>
  <si>
    <t>low_var</t>
    <phoneticPr fontId="1" type="noConversion"/>
  </si>
  <si>
    <t>high_var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</si>
</sst>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9" fontId="0" fillId="0" borderId="0" xfId="0" applyNumberFormat="1" applyAlignment="1">
      <alignment horizontal="left" vertical="center"/>
    </xf>
    <xf numFmtId="49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[EXP6_PMPD_condilevel_data_260622.xlsx]Sheet1!数据透视表4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Sheet1!$A$2:$A$27</c:f>
              <c:multiLvlStrCache>
                <c:ptCount val="18"/>
                <c:lvl>
                  <c:pt idx="0">
                    <c:v>Cost-2</c:v>
                  </c:pt>
                  <c:pt idx="1">
                    <c:v>Cost-8</c:v>
                  </c:pt>
                  <c:pt idx="2">
                    <c:v>Uncertain/Cost-5</c:v>
                  </c:pt>
                  <c:pt idx="3">
                    <c:v>Cost-2</c:v>
                  </c:pt>
                  <c:pt idx="4">
                    <c:v>Cost-8</c:v>
                  </c:pt>
                  <c:pt idx="5">
                    <c:v>Uncertain/Cost-5</c:v>
                  </c:pt>
                  <c:pt idx="6">
                    <c:v>Cost-2</c:v>
                  </c:pt>
                  <c:pt idx="7">
                    <c:v>Cost-8</c:v>
                  </c:pt>
                  <c:pt idx="8">
                    <c:v>Uncertain/Cost-5</c:v>
                  </c:pt>
                  <c:pt idx="9">
                    <c:v>Cost-2</c:v>
                  </c:pt>
                  <c:pt idx="10">
                    <c:v>Cost-8</c:v>
                  </c:pt>
                  <c:pt idx="11">
                    <c:v>Uncertain/Cost-5</c:v>
                  </c:pt>
                  <c:pt idx="12">
                    <c:v>Cost-2</c:v>
                  </c:pt>
                  <c:pt idx="13">
                    <c:v>Cost-8</c:v>
                  </c:pt>
                  <c:pt idx="14">
                    <c:v>Uncertain/Cost-5</c:v>
                  </c:pt>
                  <c:pt idx="15">
                    <c:v>Cost-2</c:v>
                  </c:pt>
                  <c:pt idx="16">
                    <c:v>Cost-8</c:v>
                  </c:pt>
                  <c:pt idx="17">
                    <c:v>Uncertain/Cost-5</c:v>
                  </c:pt>
                </c:lvl>
                <c:lvl>
                  <c:pt idx="0">
                    <c:v>1</c:v>
                  </c:pt>
                  <c:pt idx="3">
                    <c:v>20%8</c:v>
                  </c:pt>
                  <c:pt idx="6">
                    <c:v>40%8</c:v>
                  </c:pt>
                  <c:pt idx="9">
                    <c:v>50%8</c:v>
                  </c:pt>
                  <c:pt idx="12">
                    <c:v>60%8</c:v>
                  </c:pt>
                  <c:pt idx="15">
                    <c:v>80%8</c:v>
                  </c:pt>
                </c:lvl>
                <c:lvl>
                  <c:pt idx="0">
                    <c:v>7343</c:v>
                  </c:pt>
                </c:lvl>
              </c:multiLvlStrCache>
            </c:multiLvlStrRef>
          </c:cat>
          <c:val>
            <c:numRef>
              <c:f>Sheet1!$B$2:$B$27</c:f>
              <c:numCache>
                <c:formatCode>General</c:formatCode>
                <c:ptCount val="18"/>
                <c:pt idx="0">
                  <c:v>20</c:v>
                </c:pt>
                <c:pt idx="1">
                  <c:v>86</c:v>
                </c:pt>
                <c:pt idx="2">
                  <c:v>50</c:v>
                </c:pt>
                <c:pt idx="3">
                  <c:v>21</c:v>
                </c:pt>
                <c:pt idx="4">
                  <c:v>32.5</c:v>
                </c:pt>
                <c:pt idx="5">
                  <c:v>19.333333333333332</c:v>
                </c:pt>
                <c:pt idx="6">
                  <c:v>38.833333333333336</c:v>
                </c:pt>
                <c:pt idx="7">
                  <c:v>43.8</c:v>
                </c:pt>
                <c:pt idx="8">
                  <c:v>41.666666666666664</c:v>
                </c:pt>
                <c:pt idx="9">
                  <c:v>43</c:v>
                </c:pt>
                <c:pt idx="10">
                  <c:v>60</c:v>
                </c:pt>
                <c:pt idx="11">
                  <c:v>54.333333333333336</c:v>
                </c:pt>
                <c:pt idx="12">
                  <c:v>57.166666666666664</c:v>
                </c:pt>
                <c:pt idx="13">
                  <c:v>64.599999999999994</c:v>
                </c:pt>
                <c:pt idx="14">
                  <c:v>58</c:v>
                </c:pt>
                <c:pt idx="15">
                  <c:v>73.333333333333329</c:v>
                </c:pt>
                <c:pt idx="16">
                  <c:v>83.6</c:v>
                </c:pt>
                <c:pt idx="17">
                  <c:v>75.833333333333329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91-4D57-85CA-85236D7F0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6224976"/>
        <c:axId val="1286222064"/>
      </c:barChart>
      <c:catAx>
        <c:axId val="128622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86222064"/>
        <c:crosses val="autoZero"/>
        <c:auto val="1"/>
        <c:lblAlgn val="ctr"/>
        <c:lblOffset val="100"/>
        <c:noMultiLvlLbl val="0"/>
      </c:catAx>
      <c:valAx>
        <c:axId val="128622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862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381000</xdr:colOff>
      <xdr:row>36</xdr:row>
      <xdr:rowOff>76200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C01948C-859D-4F71-9DD0-DC9E7AB782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BCS" refreshedDate="46193.933863194441" createdVersion="7" refreshedVersion="7" minRefreshableVersion="3" recordCount="738" xr:uid="{3035E863-CE50-44CD-B7D4-B03DABE44351}">
  <cacheSource type="worksheet">
    <worksheetSource ref="A1:H775" sheet="Allocation"/>
  </cacheSource>
  <cacheFields count="8">
    <cacheField name="Stage" numFmtId="0">
      <sharedItems/>
    </cacheField>
    <cacheField name="Situation" numFmtId="0">
      <sharedItems containsMixedTypes="1" containsNumber="1" containsInteger="1" minValue="1" maxValue="1" count="6">
        <n v="1"/>
        <s v="20%8"/>
        <s v="40%8"/>
        <s v="50%8"/>
        <s v="60%8"/>
        <s v="80%8"/>
      </sharedItems>
    </cacheField>
    <cacheField name="Situation_1" numFmtId="0">
      <sharedItems containsMixedTypes="1" containsNumber="1" containsInteger="1" minValue="1" maxValue="1"/>
    </cacheField>
    <cacheField name="High_Prob" numFmtId="0">
      <sharedItems containsSemiMixedTypes="0" containsString="0" containsNumber="1" containsInteger="1" minValue="2" maxValue="10"/>
    </cacheField>
    <cacheField name="Prediction" numFmtId="0">
      <sharedItems containsSemiMixedTypes="0" containsString="0" containsNumber="1" minValue="2" maxValue="8"/>
    </cacheField>
    <cacheField name="Cost" numFmtId="0">
      <sharedItems count="3">
        <s v="Cost-2"/>
        <s v="Cost-8"/>
        <s v="Uncertain/Cost-5"/>
      </sharedItems>
    </cacheField>
    <cacheField name="SubID" numFmtId="0">
      <sharedItems containsSemiMixedTypes="0" containsString="0" containsNumber="1" containsInteger="1" minValue="7301" maxValue="7345" count="41">
        <n v="7301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3"/>
        <n v="7324"/>
        <n v="7325"/>
        <n v="7326"/>
        <n v="7327"/>
        <n v="7328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</sharedItems>
    </cacheField>
    <cacheField name="Value" numFmtId="0">
      <sharedItems containsSemiMixedTypes="0" containsString="0" containsNumber="1" minValue="2.3333333333333335" maxValue="100" count="382">
        <n v="20"/>
        <n v="19.833333333333332"/>
        <n v="49.833333333333336"/>
        <n v="30.166666666666668"/>
        <n v="46.5"/>
        <n v="29.333333333333332"/>
        <n v="30.833333333333332"/>
        <n v="21.666666666666668"/>
        <n v="100"/>
        <n v="2.5"/>
        <n v="14.666666666666666"/>
        <n v="60.833333333333336"/>
        <n v="29.166666666666668"/>
        <n v="22"/>
        <n v="30"/>
        <n v="41.5"/>
        <n v="18"/>
        <n v="65.400000000000006"/>
        <n v="29"/>
        <n v="21.8"/>
        <n v="40.666666666666664"/>
        <n v="24.166666666666668"/>
        <n v="16.833333333333332"/>
        <n v="17.5"/>
        <n v="6.833333333333333"/>
        <n v="32.833333333333336"/>
        <n v="40"/>
        <n v="21.333333333333332"/>
        <n v="34.333333333333336"/>
        <n v="26.333333333333332"/>
        <n v="13.833333333333334"/>
        <n v="54.166666666666664"/>
        <n v="55.666666666666664"/>
        <n v="11.666666666666666"/>
        <n v="43.5"/>
        <n v="11.833333333333334"/>
        <n v="20.333333333333332"/>
        <n v="39.833333333333336"/>
        <n v="50"/>
        <n v="43"/>
        <n v="32.5"/>
        <n v="26.666666666666668"/>
        <n v="22.8"/>
        <n v="21.833333333333332"/>
        <n v="65.666666666666671"/>
        <n v="30.333333333333332"/>
        <n v="35"/>
        <n v="23.6"/>
        <n v="69.833333333333329"/>
        <n v="39.200000000000003"/>
        <n v="31.5"/>
        <n v="44"/>
        <n v="25.666666666666668"/>
        <n v="22.333333333333332"/>
        <n v="4"/>
        <n v="37.5"/>
        <n v="34"/>
        <n v="25.5"/>
        <n v="30.6"/>
        <n v="29.666666666666668"/>
        <n v="47.5"/>
        <n v="56.833333333333336"/>
        <n v="21.166666666666668"/>
        <n v="21"/>
        <n v="31.166666666666668"/>
        <n v="9.3333333333333339"/>
        <n v="24.333333333333332"/>
        <n v="28.166666666666668"/>
        <n v="45.333333333333336"/>
        <n v="37.166666666666664"/>
        <n v="33.166666666666664"/>
        <n v="3.5"/>
        <n v="20.666666666666668"/>
        <n v="28.5"/>
        <n v="71.666666666666671"/>
        <n v="28.333333333333332"/>
        <n v="41.666666666666664"/>
        <n v="77.333333333333329"/>
        <n v="44.666666666666664"/>
        <n v="40.5"/>
        <n v="45.666666666666664"/>
        <n v="25"/>
        <n v="4.666666666666667"/>
        <n v="43.333333333333336"/>
        <n v="33.200000000000003"/>
        <n v="47"/>
        <n v="30.5"/>
        <n v="60"/>
        <n v="33.833333333333336"/>
        <n v="38.833333333333336"/>
        <n v="39.166666666666664"/>
        <n v="15.166666666666666"/>
        <n v="50.166666666666664"/>
        <n v="48.166666666666664"/>
        <n v="41"/>
        <n v="31.2"/>
        <n v="74"/>
        <n v="39"/>
        <n v="43.6"/>
        <n v="47.333333333333336"/>
        <n v="55"/>
        <n v="5.5"/>
        <n v="53.333333333333336"/>
        <n v="42.333333333333336"/>
        <n v="50.666666666666664"/>
        <n v="32.166666666666664"/>
        <n v="60.5"/>
        <n v="48.333333333333336"/>
        <n v="17.399999999999999"/>
        <n v="60.166666666666664"/>
        <n v="23.333333333333332"/>
        <n v="31"/>
        <n v="20.833333333333332"/>
        <n v="49.166666666666664"/>
        <n v="56.166666666666664"/>
        <n v="2.8"/>
        <n v="15.5"/>
        <n v="33.799999999999997"/>
        <n v="73.5"/>
        <n v="42"/>
        <n v="47.666666666666664"/>
        <n v="36.666666666666664"/>
        <n v="25.833333333333332"/>
        <n v="80.333333333333329"/>
        <n v="56"/>
        <n v="45.5"/>
        <n v="52.5"/>
        <n v="36"/>
        <n v="36.333333333333336"/>
        <n v="9.1999999999999993"/>
        <n v="46.166666666666664"/>
        <n v="46.666666666666664"/>
        <n v="49.4"/>
        <n v="54.75"/>
        <n v="50.333333333333336"/>
        <n v="51.5"/>
        <n v="64.166666666666671"/>
        <n v="30.2"/>
        <n v="65.166666666666671"/>
        <n v="57.166666666666664"/>
        <n v="16.666666666666668"/>
        <n v="80"/>
        <n v="42.5"/>
        <n v="70"/>
        <n v="2.6666666666666665"/>
        <n v="17.166666666666668"/>
        <n v="76.833333333333329"/>
        <n v="37"/>
        <n v="63.333333333333336"/>
        <n v="51.6"/>
        <n v="88.166666666666671"/>
        <n v="68"/>
        <n v="82.8"/>
        <n v="60.4"/>
        <n v="34.799999999999997"/>
        <n v="40.4"/>
        <n v="17.600000000000001"/>
        <n v="65"/>
        <n v="58.8"/>
        <n v="55.166666666666664"/>
        <n v="68.666666666666671"/>
        <n v="76"/>
        <n v="60.666666666666664"/>
        <n v="73.333333333333329"/>
        <n v="74.666666666666671"/>
        <n v="70.400000000000006"/>
        <n v="67.833333333333329"/>
        <n v="62"/>
        <n v="66.666666666666671"/>
        <n v="76.599999999999994"/>
        <n v="34.166666666666664"/>
        <n v="66.5"/>
        <n v="89.833333333333329"/>
        <n v="3.3333333333333335"/>
        <n v="77.400000000000006"/>
        <n v="90"/>
        <n v="59.166666666666664"/>
        <n v="62.5"/>
        <n v="75.666666666666671"/>
        <n v="88.333333333333329"/>
        <n v="97.333333333333329"/>
        <n v="75.833333333333329"/>
        <n v="61.2"/>
        <n v="49"/>
        <n v="35.333333333333336"/>
        <n v="85.8"/>
        <n v="78.8"/>
        <n v="96.666666666666671"/>
        <n v="83.333333333333329"/>
        <n v="93.4"/>
        <n v="89"/>
        <n v="86"/>
        <n v="80.166666666666671"/>
        <n v="64.400000000000006"/>
        <n v="23.833333333333332"/>
        <n v="26.166666666666668"/>
        <n v="64.5"/>
        <n v="56.666666666666664"/>
        <n v="33.333333333333336"/>
        <n v="45.833333333333336"/>
        <n v="69.5"/>
        <n v="5.6"/>
        <n v="25.333333333333332"/>
        <n v="70.833333333333329"/>
        <n v="41.4"/>
        <n v="38.333333333333336"/>
        <n v="85.4"/>
        <n v="39.4"/>
        <n v="64.666666666666671"/>
        <n v="28.2"/>
        <n v="22.666666666666668"/>
        <n v="22.4"/>
        <n v="53"/>
        <n v="38.5"/>
        <n v="38.4"/>
        <n v="35.166666666666664"/>
        <n v="30.666666666666668"/>
        <n v="77.666666666666671"/>
        <n v="52.166666666666664"/>
        <n v="47.833333333333336"/>
        <n v="11.166666666666666"/>
        <n v="22.5"/>
        <n v="62.333333333333336"/>
        <n v="55.833333333333336"/>
        <n v="52.333333333333336"/>
        <n v="72.166666666666671"/>
        <n v="3.4"/>
        <n v="39.666666666666664"/>
        <n v="42.833333333333336"/>
        <n v="45"/>
        <n v="84.833333333333329"/>
        <n v="44.5"/>
        <n v="57.5"/>
        <n v="67.166666666666671"/>
        <n v="31.666666666666668"/>
        <n v="20.2"/>
        <n v="52"/>
        <n v="59"/>
        <n v="40.200000000000003"/>
        <n v="47.8"/>
        <n v="46.8"/>
        <n v="78.833333333333329"/>
        <n v="59.4"/>
        <n v="43.8"/>
        <n v="54.333333333333336"/>
        <n v="53.5"/>
        <n v="59.333333333333336"/>
        <n v="54.5"/>
        <n v="58.666666666666664"/>
        <n v="3.6666666666666665"/>
        <n v="27.833333333333332"/>
        <n v="43.166666666666664"/>
        <n v="75.5"/>
        <n v="54.833333333333336"/>
        <n v="54"/>
        <n v="79.2"/>
        <n v="68.5"/>
        <n v="58.6"/>
        <n v="57"/>
        <n v="60.2"/>
        <n v="76.333333333333329"/>
        <n v="27.5"/>
        <n v="62.6"/>
        <n v="55.5"/>
        <n v="74.166666666666671"/>
        <n v="5.666666666666667"/>
        <n v="44.833333333333336"/>
        <n v="61"/>
        <n v="42.666666666666664"/>
        <n v="44.166666666666664"/>
        <n v="86.833333333333329"/>
        <n v="63"/>
        <n v="71.2"/>
        <n v="40.833333333333336"/>
        <n v="58.333333333333336"/>
        <n v="64.8"/>
        <n v="58.5"/>
        <n v="78.333333333333329"/>
        <n v="64.599999999999994"/>
        <n v="85.333333333333329"/>
        <n v="39.333333333333336"/>
        <n v="51.666666666666664"/>
        <n v="61.5"/>
        <n v="3.8333333333333335"/>
        <n v="82.5"/>
        <n v="50.833333333333336"/>
        <n v="91.666666666666671"/>
        <n v="89.333333333333329"/>
        <n v="73.833333333333329"/>
        <n v="52.2"/>
        <n v="44.4"/>
        <n v="72"/>
        <n v="78"/>
        <n v="80.400000000000006"/>
        <n v="70.333333333333329"/>
        <n v="83"/>
        <n v="90.333333333333329"/>
        <n v="85.2"/>
        <n v="83.6"/>
        <n v="86.2"/>
        <n v="37.666666666666664"/>
        <n v="56.333333333333336"/>
        <n v="27"/>
        <n v="75"/>
        <n v="61.4"/>
        <n v="53.6"/>
        <n v="46"/>
        <n v="18.666666666666668"/>
        <n v="37.333333333333336"/>
        <n v="65.833333333333329"/>
        <n v="63.166666666666664"/>
        <n v="48.666666666666664"/>
        <n v="29.833333333333332"/>
        <n v="18.833333333333332"/>
        <n v="41.833333333333336"/>
        <n v="28.6"/>
        <n v="25.166666666666668"/>
        <n v="66.166666666666671"/>
        <n v="35.6"/>
        <n v="8.1666666666666661"/>
        <n v="42.166666666666664"/>
        <n v="57.666666666666664"/>
        <n v="19.333333333333332"/>
        <n v="11.333333333333334"/>
        <n v="38.166666666666664"/>
        <n v="34.5"/>
        <n v="3.1666666666666665"/>
        <n v="32.666666666666664"/>
        <n v="31.8"/>
        <n v="41.6"/>
        <n v="48"/>
        <n v="24"/>
        <n v="10"/>
        <n v="51.166666666666664"/>
        <n v="35.833333333333336"/>
        <n v="32.6"/>
        <n v="40.333333333333336"/>
        <n v="35.666666666666664"/>
        <n v="2.3333333333333335"/>
        <n v="37.833333333333336"/>
        <n v="77.833333333333329"/>
        <n v="44.8"/>
        <n v="62.166666666666664"/>
        <n v="37.200000000000003"/>
        <n v="54.8"/>
        <n v="49.5"/>
        <n v="34.4"/>
        <n v="39.5"/>
        <n v="57.833333333333336"/>
        <n v="31.333333333333332"/>
        <n v="2.8333333333333335"/>
        <n v="24.666666666666668"/>
        <n v="75.333333333333329"/>
        <n v="85.166666666666671"/>
        <n v="51.833333333333336"/>
        <n v="14.833333333333334"/>
        <n v="52.666666666666664"/>
        <n v="58"/>
        <n v="64.2"/>
        <n v="46.333333333333336"/>
        <n v="53.666666666666664"/>
        <n v="68.333333333333329"/>
        <n v="53.2"/>
        <n v="55.75"/>
        <n v="12.166666666666666"/>
        <n v="38"/>
        <n v="70.2"/>
        <n v="3"/>
        <n v="81.666666666666671"/>
        <n v="64.333333333333329"/>
        <n v="91.5"/>
        <n v="83.4"/>
        <n v="72.5"/>
        <n v="44.6"/>
        <n v="38.6"/>
        <n v="61.666666666666664"/>
        <n v="66.8"/>
        <n v="73"/>
        <n v="67.8"/>
        <n v="70.8"/>
        <n v="72.8"/>
        <n v="8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8">
  <r>
    <s v="After"/>
    <x v="0"/>
    <n v="1"/>
    <n v="10"/>
    <n v="2"/>
    <x v="0"/>
    <x v="0"/>
    <x v="0"/>
  </r>
  <r>
    <s v="After"/>
    <x v="0"/>
    <n v="1"/>
    <n v="10"/>
    <n v="2"/>
    <x v="0"/>
    <x v="1"/>
    <x v="1"/>
  </r>
  <r>
    <s v="After"/>
    <x v="0"/>
    <n v="1"/>
    <n v="10"/>
    <n v="2"/>
    <x v="0"/>
    <x v="2"/>
    <x v="2"/>
  </r>
  <r>
    <s v="After"/>
    <x v="0"/>
    <n v="1"/>
    <n v="10"/>
    <n v="2"/>
    <x v="0"/>
    <x v="3"/>
    <x v="3"/>
  </r>
  <r>
    <s v="After"/>
    <x v="0"/>
    <n v="1"/>
    <n v="10"/>
    <n v="2"/>
    <x v="0"/>
    <x v="4"/>
    <x v="4"/>
  </r>
  <r>
    <s v="After"/>
    <x v="0"/>
    <n v="1"/>
    <n v="10"/>
    <n v="2"/>
    <x v="0"/>
    <x v="5"/>
    <x v="0"/>
  </r>
  <r>
    <s v="After"/>
    <x v="0"/>
    <n v="1"/>
    <n v="10"/>
    <n v="2"/>
    <x v="0"/>
    <x v="6"/>
    <x v="5"/>
  </r>
  <r>
    <s v="After"/>
    <x v="0"/>
    <n v="1"/>
    <n v="10"/>
    <n v="2"/>
    <x v="0"/>
    <x v="7"/>
    <x v="6"/>
  </r>
  <r>
    <s v="After"/>
    <x v="0"/>
    <n v="1"/>
    <n v="10"/>
    <n v="2"/>
    <x v="0"/>
    <x v="8"/>
    <x v="7"/>
  </r>
  <r>
    <s v="After"/>
    <x v="0"/>
    <n v="1"/>
    <n v="10"/>
    <n v="2"/>
    <x v="0"/>
    <x v="9"/>
    <x v="8"/>
  </r>
  <r>
    <s v="After"/>
    <x v="0"/>
    <n v="1"/>
    <n v="10"/>
    <n v="2"/>
    <x v="0"/>
    <x v="10"/>
    <x v="9"/>
  </r>
  <r>
    <s v="After"/>
    <x v="0"/>
    <n v="1"/>
    <n v="10"/>
    <n v="2"/>
    <x v="0"/>
    <x v="11"/>
    <x v="10"/>
  </r>
  <r>
    <s v="After"/>
    <x v="0"/>
    <n v="1"/>
    <n v="10"/>
    <n v="2"/>
    <x v="0"/>
    <x v="12"/>
    <x v="10"/>
  </r>
  <r>
    <s v="After"/>
    <x v="0"/>
    <n v="1"/>
    <n v="10"/>
    <n v="2"/>
    <x v="0"/>
    <x v="13"/>
    <x v="11"/>
  </r>
  <r>
    <s v="After"/>
    <x v="0"/>
    <n v="1"/>
    <n v="10"/>
    <n v="2"/>
    <x v="0"/>
    <x v="14"/>
    <x v="0"/>
  </r>
  <r>
    <s v="After"/>
    <x v="0"/>
    <n v="1"/>
    <n v="10"/>
    <n v="2"/>
    <x v="0"/>
    <x v="15"/>
    <x v="12"/>
  </r>
  <r>
    <s v="After"/>
    <x v="0"/>
    <n v="1"/>
    <n v="10"/>
    <n v="2"/>
    <x v="0"/>
    <x v="16"/>
    <x v="13"/>
  </r>
  <r>
    <s v="After"/>
    <x v="0"/>
    <n v="1"/>
    <n v="10"/>
    <n v="2"/>
    <x v="0"/>
    <x v="17"/>
    <x v="14"/>
  </r>
  <r>
    <s v="After"/>
    <x v="0"/>
    <n v="1"/>
    <n v="10"/>
    <n v="2"/>
    <x v="0"/>
    <x v="18"/>
    <x v="15"/>
  </r>
  <r>
    <s v="After"/>
    <x v="0"/>
    <n v="1"/>
    <n v="10"/>
    <n v="2"/>
    <x v="0"/>
    <x v="19"/>
    <x v="16"/>
  </r>
  <r>
    <s v="After"/>
    <x v="0"/>
    <n v="1"/>
    <n v="10"/>
    <n v="2"/>
    <x v="0"/>
    <x v="20"/>
    <x v="17"/>
  </r>
  <r>
    <s v="After"/>
    <x v="0"/>
    <n v="1"/>
    <n v="10"/>
    <n v="2"/>
    <x v="0"/>
    <x v="21"/>
    <x v="18"/>
  </r>
  <r>
    <s v="After"/>
    <x v="0"/>
    <n v="1"/>
    <n v="10"/>
    <n v="2"/>
    <x v="0"/>
    <x v="22"/>
    <x v="19"/>
  </r>
  <r>
    <s v="After"/>
    <x v="0"/>
    <n v="1"/>
    <n v="10"/>
    <n v="2"/>
    <x v="0"/>
    <x v="23"/>
    <x v="20"/>
  </r>
  <r>
    <s v="After"/>
    <x v="0"/>
    <n v="1"/>
    <n v="10"/>
    <n v="2"/>
    <x v="0"/>
    <x v="24"/>
    <x v="21"/>
  </r>
  <r>
    <s v="After"/>
    <x v="0"/>
    <n v="1"/>
    <n v="10"/>
    <n v="2"/>
    <x v="0"/>
    <x v="25"/>
    <x v="22"/>
  </r>
  <r>
    <s v="After"/>
    <x v="0"/>
    <n v="1"/>
    <n v="10"/>
    <n v="2"/>
    <x v="0"/>
    <x v="26"/>
    <x v="23"/>
  </r>
  <r>
    <s v="After"/>
    <x v="0"/>
    <n v="1"/>
    <n v="10"/>
    <n v="2"/>
    <x v="0"/>
    <x v="27"/>
    <x v="24"/>
  </r>
  <r>
    <s v="After"/>
    <x v="0"/>
    <n v="1"/>
    <n v="10"/>
    <n v="2"/>
    <x v="0"/>
    <x v="28"/>
    <x v="25"/>
  </r>
  <r>
    <s v="After"/>
    <x v="0"/>
    <n v="1"/>
    <n v="10"/>
    <n v="2"/>
    <x v="0"/>
    <x v="29"/>
    <x v="26"/>
  </r>
  <r>
    <s v="After"/>
    <x v="0"/>
    <n v="1"/>
    <n v="10"/>
    <n v="2"/>
    <x v="0"/>
    <x v="30"/>
    <x v="27"/>
  </r>
  <r>
    <s v="After"/>
    <x v="0"/>
    <n v="1"/>
    <n v="10"/>
    <n v="2"/>
    <x v="0"/>
    <x v="31"/>
    <x v="28"/>
  </r>
  <r>
    <s v="After"/>
    <x v="0"/>
    <n v="1"/>
    <n v="10"/>
    <n v="2"/>
    <x v="0"/>
    <x v="32"/>
    <x v="29"/>
  </r>
  <r>
    <s v="After"/>
    <x v="0"/>
    <n v="1"/>
    <n v="10"/>
    <n v="2"/>
    <x v="0"/>
    <x v="33"/>
    <x v="30"/>
  </r>
  <r>
    <s v="After"/>
    <x v="0"/>
    <n v="1"/>
    <n v="10"/>
    <n v="2"/>
    <x v="0"/>
    <x v="34"/>
    <x v="31"/>
  </r>
  <r>
    <s v="After"/>
    <x v="0"/>
    <n v="1"/>
    <n v="10"/>
    <n v="2"/>
    <x v="0"/>
    <x v="35"/>
    <x v="1"/>
  </r>
  <r>
    <s v="After"/>
    <x v="0"/>
    <n v="1"/>
    <n v="10"/>
    <n v="2"/>
    <x v="0"/>
    <x v="36"/>
    <x v="32"/>
  </r>
  <r>
    <s v="After"/>
    <x v="0"/>
    <n v="1"/>
    <n v="10"/>
    <n v="2"/>
    <x v="0"/>
    <x v="37"/>
    <x v="33"/>
  </r>
  <r>
    <s v="After"/>
    <x v="0"/>
    <n v="1"/>
    <n v="10"/>
    <n v="2"/>
    <x v="0"/>
    <x v="38"/>
    <x v="0"/>
  </r>
  <r>
    <s v="After"/>
    <x v="0"/>
    <n v="1"/>
    <n v="10"/>
    <n v="2"/>
    <x v="0"/>
    <x v="39"/>
    <x v="34"/>
  </r>
  <r>
    <s v="After"/>
    <x v="0"/>
    <n v="1"/>
    <n v="10"/>
    <n v="2"/>
    <x v="0"/>
    <x v="40"/>
    <x v="35"/>
  </r>
  <r>
    <s v="After"/>
    <x v="1"/>
    <s v="80%2+20%8"/>
    <n v="2"/>
    <n v="3.2"/>
    <x v="0"/>
    <x v="0"/>
    <x v="36"/>
  </r>
  <r>
    <s v="After"/>
    <x v="1"/>
    <s v="80%2+20%8"/>
    <n v="2"/>
    <n v="3.2"/>
    <x v="0"/>
    <x v="1"/>
    <x v="23"/>
  </r>
  <r>
    <s v="After"/>
    <x v="1"/>
    <s v="80%2+20%8"/>
    <n v="2"/>
    <n v="3.2"/>
    <x v="0"/>
    <x v="2"/>
    <x v="37"/>
  </r>
  <r>
    <s v="After"/>
    <x v="1"/>
    <s v="80%2+20%8"/>
    <n v="2"/>
    <n v="3.2"/>
    <x v="0"/>
    <x v="3"/>
    <x v="3"/>
  </r>
  <r>
    <s v="After"/>
    <x v="1"/>
    <s v="80%2+20%8"/>
    <n v="2"/>
    <n v="3.2"/>
    <x v="0"/>
    <x v="4"/>
    <x v="38"/>
  </r>
  <r>
    <s v="After"/>
    <x v="1"/>
    <s v="80%2+20%8"/>
    <n v="2"/>
    <n v="3.2"/>
    <x v="0"/>
    <x v="5"/>
    <x v="1"/>
  </r>
  <r>
    <s v="After"/>
    <x v="1"/>
    <s v="80%2+20%8"/>
    <n v="2"/>
    <n v="3.2"/>
    <x v="0"/>
    <x v="6"/>
    <x v="39"/>
  </r>
  <r>
    <s v="After"/>
    <x v="1"/>
    <s v="80%2+20%8"/>
    <n v="2"/>
    <n v="3.2"/>
    <x v="0"/>
    <x v="7"/>
    <x v="40"/>
  </r>
  <r>
    <s v="After"/>
    <x v="1"/>
    <s v="80%2+20%8"/>
    <n v="2"/>
    <n v="3.2"/>
    <x v="0"/>
    <x v="8"/>
    <x v="41"/>
  </r>
  <r>
    <s v="After"/>
    <x v="1"/>
    <s v="80%2+20%8"/>
    <n v="2"/>
    <n v="3.2"/>
    <x v="0"/>
    <x v="9"/>
    <x v="8"/>
  </r>
  <r>
    <s v="After"/>
    <x v="1"/>
    <s v="80%2+20%8"/>
    <n v="2"/>
    <n v="3.2"/>
    <x v="0"/>
    <x v="10"/>
    <x v="9"/>
  </r>
  <r>
    <s v="After"/>
    <x v="1"/>
    <s v="80%2+20%8"/>
    <n v="2"/>
    <n v="3.2"/>
    <x v="0"/>
    <x v="11"/>
    <x v="42"/>
  </r>
  <r>
    <s v="After"/>
    <x v="1"/>
    <s v="80%2+20%8"/>
    <n v="2"/>
    <n v="3.2"/>
    <x v="0"/>
    <x v="12"/>
    <x v="43"/>
  </r>
  <r>
    <s v="After"/>
    <x v="1"/>
    <s v="80%2+20%8"/>
    <n v="2"/>
    <n v="3.2"/>
    <x v="0"/>
    <x v="13"/>
    <x v="44"/>
  </r>
  <r>
    <s v="After"/>
    <x v="1"/>
    <s v="80%2+20%8"/>
    <n v="2"/>
    <n v="3.2"/>
    <x v="0"/>
    <x v="14"/>
    <x v="3"/>
  </r>
  <r>
    <s v="After"/>
    <x v="1"/>
    <s v="80%2+20%8"/>
    <n v="2"/>
    <n v="3.2"/>
    <x v="0"/>
    <x v="15"/>
    <x v="0"/>
  </r>
  <r>
    <s v="After"/>
    <x v="1"/>
    <s v="80%2+20%8"/>
    <n v="2"/>
    <n v="3.2"/>
    <x v="0"/>
    <x v="16"/>
    <x v="45"/>
  </r>
  <r>
    <s v="After"/>
    <x v="1"/>
    <s v="80%2+20%8"/>
    <n v="2"/>
    <n v="3.2"/>
    <x v="0"/>
    <x v="17"/>
    <x v="46"/>
  </r>
  <r>
    <s v="After"/>
    <x v="1"/>
    <s v="80%2+20%8"/>
    <n v="2"/>
    <n v="3.2"/>
    <x v="0"/>
    <x v="18"/>
    <x v="47"/>
  </r>
  <r>
    <s v="After"/>
    <x v="1"/>
    <s v="80%2+20%8"/>
    <n v="2"/>
    <n v="3.2"/>
    <x v="0"/>
    <x v="19"/>
    <x v="7"/>
  </r>
  <r>
    <s v="After"/>
    <x v="1"/>
    <s v="80%2+20%8"/>
    <n v="2"/>
    <n v="3.2"/>
    <x v="0"/>
    <x v="20"/>
    <x v="48"/>
  </r>
  <r>
    <s v="After"/>
    <x v="1"/>
    <s v="80%2+20%8"/>
    <n v="2"/>
    <n v="3.2"/>
    <x v="0"/>
    <x v="21"/>
    <x v="49"/>
  </r>
  <r>
    <s v="After"/>
    <x v="1"/>
    <s v="80%2+20%8"/>
    <n v="2"/>
    <n v="3.2"/>
    <x v="0"/>
    <x v="22"/>
    <x v="50"/>
  </r>
  <r>
    <s v="After"/>
    <x v="1"/>
    <s v="80%2+20%8"/>
    <n v="2"/>
    <n v="3.2"/>
    <x v="0"/>
    <x v="23"/>
    <x v="51"/>
  </r>
  <r>
    <s v="After"/>
    <x v="1"/>
    <s v="80%2+20%8"/>
    <n v="2"/>
    <n v="3.2"/>
    <x v="0"/>
    <x v="24"/>
    <x v="52"/>
  </r>
  <r>
    <s v="After"/>
    <x v="1"/>
    <s v="80%2+20%8"/>
    <n v="2"/>
    <n v="3.2"/>
    <x v="0"/>
    <x v="25"/>
    <x v="53"/>
  </r>
  <r>
    <s v="After"/>
    <x v="1"/>
    <s v="80%2+20%8"/>
    <n v="2"/>
    <n v="3.2"/>
    <x v="0"/>
    <x v="26"/>
    <x v="0"/>
  </r>
  <r>
    <s v="After"/>
    <x v="1"/>
    <s v="80%2+20%8"/>
    <n v="2"/>
    <n v="3.2"/>
    <x v="0"/>
    <x v="27"/>
    <x v="54"/>
  </r>
  <r>
    <s v="After"/>
    <x v="1"/>
    <s v="80%2+20%8"/>
    <n v="2"/>
    <n v="3.2"/>
    <x v="0"/>
    <x v="28"/>
    <x v="55"/>
  </r>
  <r>
    <s v="After"/>
    <x v="1"/>
    <s v="80%2+20%8"/>
    <n v="2"/>
    <n v="3.2"/>
    <x v="0"/>
    <x v="29"/>
    <x v="26"/>
  </r>
  <r>
    <s v="After"/>
    <x v="1"/>
    <s v="80%2+20%8"/>
    <n v="2"/>
    <n v="3.2"/>
    <x v="0"/>
    <x v="30"/>
    <x v="56"/>
  </r>
  <r>
    <s v="After"/>
    <x v="1"/>
    <s v="80%2+20%8"/>
    <n v="2"/>
    <n v="3.2"/>
    <x v="0"/>
    <x v="31"/>
    <x v="57"/>
  </r>
  <r>
    <s v="After"/>
    <x v="1"/>
    <s v="80%2+20%8"/>
    <n v="2"/>
    <n v="3.2"/>
    <x v="0"/>
    <x v="32"/>
    <x v="58"/>
  </r>
  <r>
    <s v="After"/>
    <x v="1"/>
    <s v="80%2+20%8"/>
    <n v="2"/>
    <n v="3.2"/>
    <x v="0"/>
    <x v="33"/>
    <x v="59"/>
  </r>
  <r>
    <s v="After"/>
    <x v="1"/>
    <s v="80%2+20%8"/>
    <n v="2"/>
    <n v="3.2"/>
    <x v="0"/>
    <x v="34"/>
    <x v="60"/>
  </r>
  <r>
    <s v="After"/>
    <x v="1"/>
    <s v="80%2+20%8"/>
    <n v="2"/>
    <n v="3.2"/>
    <x v="0"/>
    <x v="35"/>
    <x v="57"/>
  </r>
  <r>
    <s v="After"/>
    <x v="1"/>
    <s v="80%2+20%8"/>
    <n v="2"/>
    <n v="3.2"/>
    <x v="0"/>
    <x v="36"/>
    <x v="61"/>
  </r>
  <r>
    <s v="After"/>
    <x v="1"/>
    <s v="80%2+20%8"/>
    <n v="2"/>
    <n v="3.2"/>
    <x v="0"/>
    <x v="37"/>
    <x v="62"/>
  </r>
  <r>
    <s v="After"/>
    <x v="1"/>
    <s v="80%2+20%8"/>
    <n v="2"/>
    <n v="3.2"/>
    <x v="0"/>
    <x v="38"/>
    <x v="63"/>
  </r>
  <r>
    <s v="After"/>
    <x v="1"/>
    <s v="80%2+20%8"/>
    <n v="2"/>
    <n v="3.2"/>
    <x v="0"/>
    <x v="39"/>
    <x v="64"/>
  </r>
  <r>
    <s v="After"/>
    <x v="1"/>
    <s v="80%2+20%8"/>
    <n v="2"/>
    <n v="3.2"/>
    <x v="0"/>
    <x v="40"/>
    <x v="65"/>
  </r>
  <r>
    <s v="After"/>
    <x v="2"/>
    <s v="60%2+40%8"/>
    <n v="4"/>
    <n v="4.4000000000000004"/>
    <x v="0"/>
    <x v="0"/>
    <x v="26"/>
  </r>
  <r>
    <s v="After"/>
    <x v="2"/>
    <s v="60%2+40%8"/>
    <n v="4"/>
    <n v="4.4000000000000004"/>
    <x v="0"/>
    <x v="1"/>
    <x v="66"/>
  </r>
  <r>
    <s v="After"/>
    <x v="2"/>
    <s v="60%2+40%8"/>
    <n v="4"/>
    <n v="4.4000000000000004"/>
    <x v="0"/>
    <x v="2"/>
    <x v="34"/>
  </r>
  <r>
    <s v="After"/>
    <x v="2"/>
    <s v="60%2+40%8"/>
    <n v="4"/>
    <n v="4.4000000000000004"/>
    <x v="0"/>
    <x v="3"/>
    <x v="67"/>
  </r>
  <r>
    <s v="After"/>
    <x v="2"/>
    <s v="60%2+40%8"/>
    <n v="4"/>
    <n v="4.4000000000000004"/>
    <x v="0"/>
    <x v="4"/>
    <x v="38"/>
  </r>
  <r>
    <s v="After"/>
    <x v="2"/>
    <s v="60%2+40%8"/>
    <n v="4"/>
    <n v="4.4000000000000004"/>
    <x v="0"/>
    <x v="5"/>
    <x v="0"/>
  </r>
  <r>
    <s v="After"/>
    <x v="2"/>
    <s v="60%2+40%8"/>
    <n v="4"/>
    <n v="4.4000000000000004"/>
    <x v="0"/>
    <x v="6"/>
    <x v="68"/>
  </r>
  <r>
    <s v="After"/>
    <x v="2"/>
    <s v="60%2+40%8"/>
    <n v="4"/>
    <n v="4.4000000000000004"/>
    <x v="0"/>
    <x v="7"/>
    <x v="69"/>
  </r>
  <r>
    <s v="After"/>
    <x v="2"/>
    <s v="60%2+40%8"/>
    <n v="4"/>
    <n v="4.4000000000000004"/>
    <x v="0"/>
    <x v="8"/>
    <x v="70"/>
  </r>
  <r>
    <s v="After"/>
    <x v="2"/>
    <s v="60%2+40%8"/>
    <n v="4"/>
    <n v="4.4000000000000004"/>
    <x v="0"/>
    <x v="9"/>
    <x v="8"/>
  </r>
  <r>
    <s v="After"/>
    <x v="2"/>
    <s v="60%2+40%8"/>
    <n v="4"/>
    <n v="4.4000000000000004"/>
    <x v="0"/>
    <x v="10"/>
    <x v="71"/>
  </r>
  <r>
    <s v="After"/>
    <x v="2"/>
    <s v="60%2+40%8"/>
    <n v="4"/>
    <n v="4.4000000000000004"/>
    <x v="0"/>
    <x v="11"/>
    <x v="72"/>
  </r>
  <r>
    <s v="After"/>
    <x v="2"/>
    <s v="60%2+40%8"/>
    <n v="4"/>
    <n v="4.4000000000000004"/>
    <x v="0"/>
    <x v="12"/>
    <x v="73"/>
  </r>
  <r>
    <s v="After"/>
    <x v="2"/>
    <s v="60%2+40%8"/>
    <n v="4"/>
    <n v="4.4000000000000004"/>
    <x v="0"/>
    <x v="13"/>
    <x v="74"/>
  </r>
  <r>
    <s v="After"/>
    <x v="2"/>
    <s v="60%2+40%8"/>
    <n v="4"/>
    <n v="4.4000000000000004"/>
    <x v="0"/>
    <x v="14"/>
    <x v="46"/>
  </r>
  <r>
    <s v="After"/>
    <x v="2"/>
    <s v="60%2+40%8"/>
    <n v="4"/>
    <n v="4.4000000000000004"/>
    <x v="0"/>
    <x v="15"/>
    <x v="75"/>
  </r>
  <r>
    <s v="After"/>
    <x v="2"/>
    <s v="60%2+40%8"/>
    <n v="4"/>
    <n v="4.4000000000000004"/>
    <x v="0"/>
    <x v="16"/>
    <x v="46"/>
  </r>
  <r>
    <s v="After"/>
    <x v="2"/>
    <s v="60%2+40%8"/>
    <n v="4"/>
    <n v="4.4000000000000004"/>
    <x v="0"/>
    <x v="17"/>
    <x v="76"/>
  </r>
  <r>
    <s v="After"/>
    <x v="2"/>
    <s v="60%2+40%8"/>
    <n v="4"/>
    <n v="4.4000000000000004"/>
    <x v="0"/>
    <x v="18"/>
    <x v="29"/>
  </r>
  <r>
    <s v="After"/>
    <x v="2"/>
    <s v="60%2+40%8"/>
    <n v="4"/>
    <n v="4.4000000000000004"/>
    <x v="0"/>
    <x v="19"/>
    <x v="41"/>
  </r>
  <r>
    <s v="After"/>
    <x v="2"/>
    <s v="60%2+40%8"/>
    <n v="4"/>
    <n v="4.4000000000000004"/>
    <x v="0"/>
    <x v="20"/>
    <x v="77"/>
  </r>
  <r>
    <s v="After"/>
    <x v="2"/>
    <s v="60%2+40%8"/>
    <n v="4"/>
    <n v="4.4000000000000004"/>
    <x v="0"/>
    <x v="21"/>
    <x v="78"/>
  </r>
  <r>
    <s v="After"/>
    <x v="2"/>
    <s v="60%2+40%8"/>
    <n v="4"/>
    <n v="4.4000000000000004"/>
    <x v="0"/>
    <x v="22"/>
    <x v="79"/>
  </r>
  <r>
    <s v="After"/>
    <x v="2"/>
    <s v="60%2+40%8"/>
    <n v="4"/>
    <n v="4.4000000000000004"/>
    <x v="0"/>
    <x v="23"/>
    <x v="80"/>
  </r>
  <r>
    <s v="After"/>
    <x v="2"/>
    <s v="60%2+40%8"/>
    <n v="4"/>
    <n v="4.4000000000000004"/>
    <x v="0"/>
    <x v="24"/>
    <x v="73"/>
  </r>
  <r>
    <s v="After"/>
    <x v="2"/>
    <s v="60%2+40%8"/>
    <n v="4"/>
    <n v="4.4000000000000004"/>
    <x v="0"/>
    <x v="25"/>
    <x v="81"/>
  </r>
  <r>
    <s v="After"/>
    <x v="2"/>
    <s v="60%2+40%8"/>
    <n v="4"/>
    <n v="4.4000000000000004"/>
    <x v="0"/>
    <x v="26"/>
    <x v="14"/>
  </r>
  <r>
    <s v="After"/>
    <x v="2"/>
    <s v="60%2+40%8"/>
    <n v="4"/>
    <n v="4.4000000000000004"/>
    <x v="0"/>
    <x v="27"/>
    <x v="82"/>
  </r>
  <r>
    <s v="After"/>
    <x v="2"/>
    <s v="60%2+40%8"/>
    <n v="4"/>
    <n v="4.4000000000000004"/>
    <x v="0"/>
    <x v="28"/>
    <x v="20"/>
  </r>
  <r>
    <s v="After"/>
    <x v="2"/>
    <s v="60%2+40%8"/>
    <n v="4"/>
    <n v="4.4000000000000004"/>
    <x v="0"/>
    <x v="29"/>
    <x v="83"/>
  </r>
  <r>
    <s v="After"/>
    <x v="2"/>
    <s v="60%2+40%8"/>
    <n v="4"/>
    <n v="4.4000000000000004"/>
    <x v="0"/>
    <x v="30"/>
    <x v="84"/>
  </r>
  <r>
    <s v="After"/>
    <x v="2"/>
    <s v="60%2+40%8"/>
    <n v="4"/>
    <n v="4.4000000000000004"/>
    <x v="0"/>
    <x v="31"/>
    <x v="85"/>
  </r>
  <r>
    <s v="After"/>
    <x v="2"/>
    <s v="60%2+40%8"/>
    <n v="4"/>
    <n v="4.4000000000000004"/>
    <x v="0"/>
    <x v="32"/>
    <x v="39"/>
  </r>
  <r>
    <s v="After"/>
    <x v="2"/>
    <s v="60%2+40%8"/>
    <n v="4"/>
    <n v="4.4000000000000004"/>
    <x v="0"/>
    <x v="33"/>
    <x v="79"/>
  </r>
  <r>
    <s v="After"/>
    <x v="2"/>
    <s v="60%2+40%8"/>
    <n v="4"/>
    <n v="4.4000000000000004"/>
    <x v="0"/>
    <x v="34"/>
    <x v="38"/>
  </r>
  <r>
    <s v="After"/>
    <x v="2"/>
    <s v="60%2+40%8"/>
    <n v="4"/>
    <n v="4.4000000000000004"/>
    <x v="0"/>
    <x v="35"/>
    <x v="86"/>
  </r>
  <r>
    <s v="After"/>
    <x v="2"/>
    <s v="60%2+40%8"/>
    <n v="4"/>
    <n v="4.4000000000000004"/>
    <x v="0"/>
    <x v="36"/>
    <x v="87"/>
  </r>
  <r>
    <s v="After"/>
    <x v="2"/>
    <s v="60%2+40%8"/>
    <n v="4"/>
    <n v="4.4000000000000004"/>
    <x v="0"/>
    <x v="37"/>
    <x v="88"/>
  </r>
  <r>
    <s v="After"/>
    <x v="2"/>
    <s v="60%2+40%8"/>
    <n v="4"/>
    <n v="4.4000000000000004"/>
    <x v="0"/>
    <x v="38"/>
    <x v="89"/>
  </r>
  <r>
    <s v="After"/>
    <x v="2"/>
    <s v="60%2+40%8"/>
    <n v="4"/>
    <n v="4.4000000000000004"/>
    <x v="0"/>
    <x v="39"/>
    <x v="90"/>
  </r>
  <r>
    <s v="After"/>
    <x v="2"/>
    <s v="60%2+40%8"/>
    <n v="4"/>
    <n v="4.4000000000000004"/>
    <x v="0"/>
    <x v="40"/>
    <x v="91"/>
  </r>
  <r>
    <s v="After"/>
    <x v="3"/>
    <s v="50%2+50%8"/>
    <n v="5"/>
    <n v="5"/>
    <x v="0"/>
    <x v="0"/>
    <x v="38"/>
  </r>
  <r>
    <s v="After"/>
    <x v="3"/>
    <s v="50%2+50%8"/>
    <n v="5"/>
    <n v="5"/>
    <x v="0"/>
    <x v="1"/>
    <x v="63"/>
  </r>
  <r>
    <s v="After"/>
    <x v="3"/>
    <s v="50%2+50%8"/>
    <n v="5"/>
    <n v="5"/>
    <x v="0"/>
    <x v="2"/>
    <x v="92"/>
  </r>
  <r>
    <s v="After"/>
    <x v="3"/>
    <s v="50%2+50%8"/>
    <n v="5"/>
    <n v="5"/>
    <x v="0"/>
    <x v="3"/>
    <x v="5"/>
  </r>
  <r>
    <s v="After"/>
    <x v="3"/>
    <s v="50%2+50%8"/>
    <n v="5"/>
    <n v="5"/>
    <x v="0"/>
    <x v="4"/>
    <x v="93"/>
  </r>
  <r>
    <s v="After"/>
    <x v="3"/>
    <s v="50%2+50%8"/>
    <n v="5"/>
    <n v="5"/>
    <x v="0"/>
    <x v="5"/>
    <x v="0"/>
  </r>
  <r>
    <s v="After"/>
    <x v="3"/>
    <s v="50%2+50%8"/>
    <n v="5"/>
    <n v="5"/>
    <x v="0"/>
    <x v="6"/>
    <x v="39"/>
  </r>
  <r>
    <s v="After"/>
    <x v="3"/>
    <s v="50%2+50%8"/>
    <n v="5"/>
    <n v="5"/>
    <x v="0"/>
    <x v="7"/>
    <x v="94"/>
  </r>
  <r>
    <s v="After"/>
    <x v="3"/>
    <s v="50%2+50%8"/>
    <n v="5"/>
    <n v="5"/>
    <x v="0"/>
    <x v="8"/>
    <x v="41"/>
  </r>
  <r>
    <s v="After"/>
    <x v="3"/>
    <s v="50%2+50%8"/>
    <n v="5"/>
    <n v="5"/>
    <x v="0"/>
    <x v="9"/>
    <x v="8"/>
  </r>
  <r>
    <s v="After"/>
    <x v="3"/>
    <s v="50%2+50%8"/>
    <n v="5"/>
    <n v="5"/>
    <x v="0"/>
    <x v="10"/>
    <x v="71"/>
  </r>
  <r>
    <s v="After"/>
    <x v="3"/>
    <s v="50%2+50%8"/>
    <n v="5"/>
    <n v="5"/>
    <x v="0"/>
    <x v="11"/>
    <x v="66"/>
  </r>
  <r>
    <s v="After"/>
    <x v="3"/>
    <s v="50%2+50%8"/>
    <n v="5"/>
    <n v="5"/>
    <x v="0"/>
    <x v="12"/>
    <x v="95"/>
  </r>
  <r>
    <s v="After"/>
    <x v="3"/>
    <s v="50%2+50%8"/>
    <n v="5"/>
    <n v="5"/>
    <x v="0"/>
    <x v="13"/>
    <x v="96"/>
  </r>
  <r>
    <s v="After"/>
    <x v="3"/>
    <s v="50%2+50%8"/>
    <n v="5"/>
    <n v="5"/>
    <x v="0"/>
    <x v="14"/>
    <x v="26"/>
  </r>
  <r>
    <s v="After"/>
    <x v="3"/>
    <s v="50%2+50%8"/>
    <n v="5"/>
    <n v="5"/>
    <x v="0"/>
    <x v="15"/>
    <x v="6"/>
  </r>
  <r>
    <s v="After"/>
    <x v="3"/>
    <s v="50%2+50%8"/>
    <n v="5"/>
    <n v="5"/>
    <x v="0"/>
    <x v="16"/>
    <x v="97"/>
  </r>
  <r>
    <s v="After"/>
    <x v="3"/>
    <s v="50%2+50%8"/>
    <n v="5"/>
    <n v="5"/>
    <x v="0"/>
    <x v="17"/>
    <x v="38"/>
  </r>
  <r>
    <s v="After"/>
    <x v="3"/>
    <s v="50%2+50%8"/>
    <n v="5"/>
    <n v="5"/>
    <x v="0"/>
    <x v="18"/>
    <x v="59"/>
  </r>
  <r>
    <s v="After"/>
    <x v="3"/>
    <s v="50%2+50%8"/>
    <n v="5"/>
    <n v="5"/>
    <x v="0"/>
    <x v="19"/>
    <x v="75"/>
  </r>
  <r>
    <s v="After"/>
    <x v="3"/>
    <s v="50%2+50%8"/>
    <n v="5"/>
    <n v="5"/>
    <x v="0"/>
    <x v="20"/>
    <x v="74"/>
  </r>
  <r>
    <s v="After"/>
    <x v="3"/>
    <s v="50%2+50%8"/>
    <n v="5"/>
    <n v="5"/>
    <x v="0"/>
    <x v="21"/>
    <x v="38"/>
  </r>
  <r>
    <s v="After"/>
    <x v="3"/>
    <s v="50%2+50%8"/>
    <n v="5"/>
    <n v="5"/>
    <x v="0"/>
    <x v="22"/>
    <x v="98"/>
  </r>
  <r>
    <s v="After"/>
    <x v="3"/>
    <s v="50%2+50%8"/>
    <n v="5"/>
    <n v="5"/>
    <x v="0"/>
    <x v="23"/>
    <x v="99"/>
  </r>
  <r>
    <s v="After"/>
    <x v="3"/>
    <s v="50%2+50%8"/>
    <n v="5"/>
    <n v="5"/>
    <x v="0"/>
    <x v="24"/>
    <x v="86"/>
  </r>
  <r>
    <s v="After"/>
    <x v="3"/>
    <s v="50%2+50%8"/>
    <n v="5"/>
    <n v="5"/>
    <x v="0"/>
    <x v="25"/>
    <x v="52"/>
  </r>
  <r>
    <s v="After"/>
    <x v="3"/>
    <s v="50%2+50%8"/>
    <n v="5"/>
    <n v="5"/>
    <x v="0"/>
    <x v="26"/>
    <x v="100"/>
  </r>
  <r>
    <s v="After"/>
    <x v="3"/>
    <s v="50%2+50%8"/>
    <n v="5"/>
    <n v="5"/>
    <x v="0"/>
    <x v="27"/>
    <x v="101"/>
  </r>
  <r>
    <s v="After"/>
    <x v="3"/>
    <s v="50%2+50%8"/>
    <n v="5"/>
    <n v="5"/>
    <x v="0"/>
    <x v="28"/>
    <x v="51"/>
  </r>
  <r>
    <s v="After"/>
    <x v="3"/>
    <s v="50%2+50%8"/>
    <n v="5"/>
    <n v="5"/>
    <x v="0"/>
    <x v="29"/>
    <x v="102"/>
  </r>
  <r>
    <s v="After"/>
    <x v="3"/>
    <s v="50%2+50%8"/>
    <n v="5"/>
    <n v="5"/>
    <x v="0"/>
    <x v="30"/>
    <x v="103"/>
  </r>
  <r>
    <s v="After"/>
    <x v="3"/>
    <s v="50%2+50%8"/>
    <n v="5"/>
    <n v="5"/>
    <x v="0"/>
    <x v="31"/>
    <x v="104"/>
  </r>
  <r>
    <s v="After"/>
    <x v="3"/>
    <s v="50%2+50%8"/>
    <n v="5"/>
    <n v="5"/>
    <x v="0"/>
    <x v="32"/>
    <x v="55"/>
  </r>
  <r>
    <s v="After"/>
    <x v="3"/>
    <s v="50%2+50%8"/>
    <n v="5"/>
    <n v="5"/>
    <x v="0"/>
    <x v="33"/>
    <x v="80"/>
  </r>
  <r>
    <s v="After"/>
    <x v="3"/>
    <s v="50%2+50%8"/>
    <n v="5"/>
    <n v="5"/>
    <x v="0"/>
    <x v="34"/>
    <x v="100"/>
  </r>
  <r>
    <s v="After"/>
    <x v="3"/>
    <s v="50%2+50%8"/>
    <n v="5"/>
    <n v="5"/>
    <x v="0"/>
    <x v="35"/>
    <x v="105"/>
  </r>
  <r>
    <s v="After"/>
    <x v="3"/>
    <s v="50%2+50%8"/>
    <n v="5"/>
    <n v="5"/>
    <x v="0"/>
    <x v="36"/>
    <x v="106"/>
  </r>
  <r>
    <s v="After"/>
    <x v="3"/>
    <s v="50%2+50%8"/>
    <n v="5"/>
    <n v="5"/>
    <x v="0"/>
    <x v="37"/>
    <x v="89"/>
  </r>
  <r>
    <s v="After"/>
    <x v="3"/>
    <s v="50%2+50%8"/>
    <n v="5"/>
    <n v="5"/>
    <x v="0"/>
    <x v="38"/>
    <x v="39"/>
  </r>
  <r>
    <s v="After"/>
    <x v="3"/>
    <s v="50%2+50%8"/>
    <n v="5"/>
    <n v="5"/>
    <x v="0"/>
    <x v="39"/>
    <x v="107"/>
  </r>
  <r>
    <s v="After"/>
    <x v="3"/>
    <s v="50%2+50%8"/>
    <n v="5"/>
    <n v="5"/>
    <x v="0"/>
    <x v="40"/>
    <x v="108"/>
  </r>
  <r>
    <s v="After"/>
    <x v="4"/>
    <s v="40%2+60%8"/>
    <n v="6"/>
    <n v="5.6"/>
    <x v="0"/>
    <x v="0"/>
    <x v="109"/>
  </r>
  <r>
    <s v="After"/>
    <x v="4"/>
    <s v="40%2+60%8"/>
    <n v="6"/>
    <n v="5.6"/>
    <x v="0"/>
    <x v="1"/>
    <x v="110"/>
  </r>
  <r>
    <s v="After"/>
    <x v="4"/>
    <s v="40%2+60%8"/>
    <n v="6"/>
    <n v="5.6"/>
    <x v="0"/>
    <x v="2"/>
    <x v="2"/>
  </r>
  <r>
    <s v="After"/>
    <x v="4"/>
    <s v="40%2+60%8"/>
    <n v="6"/>
    <n v="5.6"/>
    <x v="0"/>
    <x v="3"/>
    <x v="111"/>
  </r>
  <r>
    <s v="After"/>
    <x v="4"/>
    <s v="40%2+60%8"/>
    <n v="6"/>
    <n v="5.6"/>
    <x v="0"/>
    <x v="4"/>
    <x v="102"/>
  </r>
  <r>
    <s v="After"/>
    <x v="4"/>
    <s v="40%2+60%8"/>
    <n v="6"/>
    <n v="5.6"/>
    <x v="0"/>
    <x v="5"/>
    <x v="112"/>
  </r>
  <r>
    <s v="After"/>
    <x v="4"/>
    <s v="40%2+60%8"/>
    <n v="6"/>
    <n v="5.6"/>
    <x v="0"/>
    <x v="6"/>
    <x v="113"/>
  </r>
  <r>
    <s v="After"/>
    <x v="4"/>
    <s v="40%2+60%8"/>
    <n v="6"/>
    <n v="5.6"/>
    <x v="0"/>
    <x v="7"/>
    <x v="114"/>
  </r>
  <r>
    <s v="After"/>
    <x v="4"/>
    <s v="40%2+60%8"/>
    <n v="6"/>
    <n v="5.6"/>
    <x v="0"/>
    <x v="8"/>
    <x v="86"/>
  </r>
  <r>
    <s v="After"/>
    <x v="4"/>
    <s v="40%2+60%8"/>
    <n v="6"/>
    <n v="5.6"/>
    <x v="0"/>
    <x v="9"/>
    <x v="8"/>
  </r>
  <r>
    <s v="After"/>
    <x v="4"/>
    <s v="40%2+60%8"/>
    <n v="6"/>
    <n v="5.6"/>
    <x v="0"/>
    <x v="10"/>
    <x v="115"/>
  </r>
  <r>
    <s v="After"/>
    <x v="4"/>
    <s v="40%2+60%8"/>
    <n v="6"/>
    <n v="5.6"/>
    <x v="0"/>
    <x v="11"/>
    <x v="116"/>
  </r>
  <r>
    <s v="After"/>
    <x v="4"/>
    <s v="40%2+60%8"/>
    <n v="6"/>
    <n v="5.6"/>
    <x v="0"/>
    <x v="12"/>
    <x v="117"/>
  </r>
  <r>
    <s v="After"/>
    <x v="4"/>
    <s v="40%2+60%8"/>
    <n v="6"/>
    <n v="5.6"/>
    <x v="0"/>
    <x v="13"/>
    <x v="118"/>
  </r>
  <r>
    <s v="After"/>
    <x v="4"/>
    <s v="40%2+60%8"/>
    <n v="6"/>
    <n v="5.6"/>
    <x v="0"/>
    <x v="14"/>
    <x v="83"/>
  </r>
  <r>
    <s v="After"/>
    <x v="4"/>
    <s v="40%2+60%8"/>
    <n v="6"/>
    <n v="5.6"/>
    <x v="0"/>
    <x v="15"/>
    <x v="40"/>
  </r>
  <r>
    <s v="After"/>
    <x v="4"/>
    <s v="40%2+60%8"/>
    <n v="6"/>
    <n v="5.6"/>
    <x v="0"/>
    <x v="16"/>
    <x v="119"/>
  </r>
  <r>
    <s v="After"/>
    <x v="4"/>
    <s v="40%2+60%8"/>
    <n v="6"/>
    <n v="5.6"/>
    <x v="0"/>
    <x v="17"/>
    <x v="120"/>
  </r>
  <r>
    <s v="After"/>
    <x v="4"/>
    <s v="40%2+60%8"/>
    <n v="6"/>
    <n v="5.6"/>
    <x v="0"/>
    <x v="18"/>
    <x v="121"/>
  </r>
  <r>
    <s v="After"/>
    <x v="4"/>
    <s v="40%2+60%8"/>
    <n v="6"/>
    <n v="5.6"/>
    <x v="0"/>
    <x v="19"/>
    <x v="122"/>
  </r>
  <r>
    <s v="After"/>
    <x v="4"/>
    <s v="40%2+60%8"/>
    <n v="6"/>
    <n v="5.6"/>
    <x v="0"/>
    <x v="20"/>
    <x v="123"/>
  </r>
  <r>
    <s v="After"/>
    <x v="4"/>
    <s v="40%2+60%8"/>
    <n v="6"/>
    <n v="5.6"/>
    <x v="0"/>
    <x v="21"/>
    <x v="124"/>
  </r>
  <r>
    <s v="After"/>
    <x v="4"/>
    <s v="40%2+60%8"/>
    <n v="6"/>
    <n v="5.6"/>
    <x v="0"/>
    <x v="22"/>
    <x v="125"/>
  </r>
  <r>
    <s v="After"/>
    <x v="4"/>
    <s v="40%2+60%8"/>
    <n v="6"/>
    <n v="5.6"/>
    <x v="0"/>
    <x v="23"/>
    <x v="126"/>
  </r>
  <r>
    <s v="After"/>
    <x v="4"/>
    <s v="40%2+60%8"/>
    <n v="6"/>
    <n v="5.6"/>
    <x v="0"/>
    <x v="24"/>
    <x v="127"/>
  </r>
  <r>
    <s v="After"/>
    <x v="4"/>
    <s v="40%2+60%8"/>
    <n v="6"/>
    <n v="5.6"/>
    <x v="0"/>
    <x v="25"/>
    <x v="128"/>
  </r>
  <r>
    <s v="After"/>
    <x v="4"/>
    <s v="40%2+60%8"/>
    <n v="6"/>
    <n v="5.6"/>
    <x v="0"/>
    <x v="26"/>
    <x v="87"/>
  </r>
  <r>
    <s v="After"/>
    <x v="4"/>
    <s v="40%2+60%8"/>
    <n v="6"/>
    <n v="5.6"/>
    <x v="0"/>
    <x v="27"/>
    <x v="129"/>
  </r>
  <r>
    <s v="After"/>
    <x v="4"/>
    <s v="40%2+60%8"/>
    <n v="6"/>
    <n v="5.6"/>
    <x v="0"/>
    <x v="28"/>
    <x v="130"/>
  </r>
  <r>
    <s v="After"/>
    <x v="4"/>
    <s v="40%2+60%8"/>
    <n v="6"/>
    <n v="5.6"/>
    <x v="0"/>
    <x v="29"/>
    <x v="131"/>
  </r>
  <r>
    <s v="After"/>
    <x v="4"/>
    <s v="40%2+60%8"/>
    <n v="6"/>
    <n v="5.6"/>
    <x v="0"/>
    <x v="30"/>
    <x v="132"/>
  </r>
  <r>
    <s v="After"/>
    <x v="4"/>
    <s v="40%2+60%8"/>
    <n v="6"/>
    <n v="5.6"/>
    <x v="0"/>
    <x v="31"/>
    <x v="133"/>
  </r>
  <r>
    <s v="After"/>
    <x v="4"/>
    <s v="40%2+60%8"/>
    <n v="6"/>
    <n v="5.6"/>
    <x v="0"/>
    <x v="32"/>
    <x v="134"/>
  </r>
  <r>
    <s v="After"/>
    <x v="4"/>
    <s v="40%2+60%8"/>
    <n v="6"/>
    <n v="5.6"/>
    <x v="0"/>
    <x v="33"/>
    <x v="135"/>
  </r>
  <r>
    <s v="After"/>
    <x v="4"/>
    <s v="40%2+60%8"/>
    <n v="6"/>
    <n v="5.6"/>
    <x v="0"/>
    <x v="34"/>
    <x v="136"/>
  </r>
  <r>
    <s v="After"/>
    <x v="4"/>
    <s v="40%2+60%8"/>
    <n v="6"/>
    <n v="5.6"/>
    <x v="0"/>
    <x v="35"/>
    <x v="137"/>
  </r>
  <r>
    <s v="After"/>
    <x v="4"/>
    <s v="40%2+60%8"/>
    <n v="6"/>
    <n v="5.6"/>
    <x v="0"/>
    <x v="36"/>
    <x v="138"/>
  </r>
  <r>
    <s v="After"/>
    <x v="4"/>
    <s v="40%2+60%8"/>
    <n v="6"/>
    <n v="5.6"/>
    <x v="0"/>
    <x v="37"/>
    <x v="107"/>
  </r>
  <r>
    <s v="After"/>
    <x v="4"/>
    <s v="40%2+60%8"/>
    <n v="6"/>
    <n v="5.6"/>
    <x v="0"/>
    <x v="38"/>
    <x v="139"/>
  </r>
  <r>
    <s v="After"/>
    <x v="4"/>
    <s v="40%2+60%8"/>
    <n v="6"/>
    <n v="5.6"/>
    <x v="0"/>
    <x v="39"/>
    <x v="38"/>
  </r>
  <r>
    <s v="After"/>
    <x v="4"/>
    <s v="40%2+60%8"/>
    <n v="6"/>
    <n v="5.6"/>
    <x v="0"/>
    <x v="40"/>
    <x v="140"/>
  </r>
  <r>
    <s v="After"/>
    <x v="5"/>
    <s v="20%2+80%8"/>
    <n v="8"/>
    <n v="6.8"/>
    <x v="0"/>
    <x v="0"/>
    <x v="141"/>
  </r>
  <r>
    <s v="After"/>
    <x v="5"/>
    <s v="20%2+80%8"/>
    <n v="8"/>
    <n v="6.8"/>
    <x v="0"/>
    <x v="1"/>
    <x v="90"/>
  </r>
  <r>
    <s v="After"/>
    <x v="5"/>
    <s v="20%2+80%8"/>
    <n v="8"/>
    <n v="6.8"/>
    <x v="0"/>
    <x v="2"/>
    <x v="142"/>
  </r>
  <r>
    <s v="After"/>
    <x v="5"/>
    <s v="20%2+80%8"/>
    <n v="8"/>
    <n v="6.8"/>
    <x v="0"/>
    <x v="3"/>
    <x v="12"/>
  </r>
  <r>
    <s v="After"/>
    <x v="5"/>
    <s v="20%2+80%8"/>
    <n v="8"/>
    <n v="6.8"/>
    <x v="0"/>
    <x v="4"/>
    <x v="143"/>
  </r>
  <r>
    <s v="After"/>
    <x v="5"/>
    <s v="20%2+80%8"/>
    <n v="8"/>
    <n v="6.8"/>
    <x v="0"/>
    <x v="5"/>
    <x v="112"/>
  </r>
  <r>
    <s v="After"/>
    <x v="5"/>
    <s v="20%2+80%8"/>
    <n v="8"/>
    <n v="6.8"/>
    <x v="0"/>
    <x v="6"/>
    <x v="93"/>
  </r>
  <r>
    <s v="After"/>
    <x v="5"/>
    <s v="20%2+80%8"/>
    <n v="8"/>
    <n v="6.8"/>
    <x v="0"/>
    <x v="7"/>
    <x v="139"/>
  </r>
  <r>
    <s v="After"/>
    <x v="5"/>
    <s v="20%2+80%8"/>
    <n v="8"/>
    <n v="6.8"/>
    <x v="0"/>
    <x v="8"/>
    <x v="105"/>
  </r>
  <r>
    <s v="After"/>
    <x v="5"/>
    <s v="20%2+80%8"/>
    <n v="8"/>
    <n v="6.8"/>
    <x v="0"/>
    <x v="9"/>
    <x v="8"/>
  </r>
  <r>
    <s v="After"/>
    <x v="5"/>
    <s v="20%2+80%8"/>
    <n v="8"/>
    <n v="6.8"/>
    <x v="0"/>
    <x v="10"/>
    <x v="144"/>
  </r>
  <r>
    <s v="After"/>
    <x v="5"/>
    <s v="20%2+80%8"/>
    <n v="8"/>
    <n v="6.8"/>
    <x v="0"/>
    <x v="11"/>
    <x v="145"/>
  </r>
  <r>
    <s v="After"/>
    <x v="5"/>
    <s v="20%2+80%8"/>
    <n v="8"/>
    <n v="6.8"/>
    <x v="0"/>
    <x v="12"/>
    <x v="69"/>
  </r>
  <r>
    <s v="After"/>
    <x v="5"/>
    <s v="20%2+80%8"/>
    <n v="8"/>
    <n v="6.8"/>
    <x v="0"/>
    <x v="13"/>
    <x v="146"/>
  </r>
  <r>
    <s v="After"/>
    <x v="5"/>
    <s v="20%2+80%8"/>
    <n v="8"/>
    <n v="6.8"/>
    <x v="0"/>
    <x v="14"/>
    <x v="38"/>
  </r>
  <r>
    <s v="After"/>
    <x v="5"/>
    <s v="20%2+80%8"/>
    <n v="8"/>
    <n v="6.8"/>
    <x v="0"/>
    <x v="15"/>
    <x v="147"/>
  </r>
  <r>
    <s v="After"/>
    <x v="5"/>
    <s v="20%2+80%8"/>
    <n v="8"/>
    <n v="6.8"/>
    <x v="0"/>
    <x v="16"/>
    <x v="124"/>
  </r>
  <r>
    <s v="After"/>
    <x v="5"/>
    <s v="20%2+80%8"/>
    <n v="8"/>
    <n v="6.8"/>
    <x v="0"/>
    <x v="17"/>
    <x v="148"/>
  </r>
  <r>
    <s v="After"/>
    <x v="5"/>
    <s v="20%2+80%8"/>
    <n v="8"/>
    <n v="6.8"/>
    <x v="0"/>
    <x v="18"/>
    <x v="149"/>
  </r>
  <r>
    <s v="After"/>
    <x v="5"/>
    <s v="20%2+80%8"/>
    <n v="8"/>
    <n v="6.8"/>
    <x v="0"/>
    <x v="19"/>
    <x v="41"/>
  </r>
  <r>
    <s v="After"/>
    <x v="5"/>
    <s v="20%2+80%8"/>
    <n v="8"/>
    <n v="6.8"/>
    <x v="0"/>
    <x v="20"/>
    <x v="150"/>
  </r>
  <r>
    <s v="After"/>
    <x v="5"/>
    <s v="20%2+80%8"/>
    <n v="8"/>
    <n v="6.8"/>
    <x v="0"/>
    <x v="21"/>
    <x v="151"/>
  </r>
  <r>
    <s v="After"/>
    <x v="5"/>
    <s v="20%2+80%8"/>
    <n v="8"/>
    <n v="6.8"/>
    <x v="0"/>
    <x v="22"/>
    <x v="152"/>
  </r>
  <r>
    <s v="After"/>
    <x v="5"/>
    <s v="20%2+80%8"/>
    <n v="8"/>
    <n v="6.8"/>
    <x v="0"/>
    <x v="23"/>
    <x v="153"/>
  </r>
  <r>
    <s v="After"/>
    <x v="5"/>
    <s v="20%2+80%8"/>
    <n v="8"/>
    <n v="6.8"/>
    <x v="0"/>
    <x v="24"/>
    <x v="154"/>
  </r>
  <r>
    <s v="After"/>
    <x v="5"/>
    <s v="20%2+80%8"/>
    <n v="8"/>
    <n v="6.8"/>
    <x v="0"/>
    <x v="25"/>
    <x v="155"/>
  </r>
  <r>
    <s v="After"/>
    <x v="5"/>
    <s v="20%2+80%8"/>
    <n v="8"/>
    <n v="6.8"/>
    <x v="0"/>
    <x v="26"/>
    <x v="141"/>
  </r>
  <r>
    <s v="After"/>
    <x v="5"/>
    <s v="20%2+80%8"/>
    <n v="8"/>
    <n v="6.8"/>
    <x v="0"/>
    <x v="27"/>
    <x v="156"/>
  </r>
  <r>
    <s v="After"/>
    <x v="5"/>
    <s v="20%2+80%8"/>
    <n v="8"/>
    <n v="6.8"/>
    <x v="0"/>
    <x v="28"/>
    <x v="157"/>
  </r>
  <r>
    <s v="After"/>
    <x v="5"/>
    <s v="20%2+80%8"/>
    <n v="8"/>
    <n v="6.8"/>
    <x v="0"/>
    <x v="29"/>
    <x v="158"/>
  </r>
  <r>
    <s v="After"/>
    <x v="5"/>
    <s v="20%2+80%8"/>
    <n v="8"/>
    <n v="6.8"/>
    <x v="0"/>
    <x v="30"/>
    <x v="159"/>
  </r>
  <r>
    <s v="After"/>
    <x v="5"/>
    <s v="20%2+80%8"/>
    <n v="8"/>
    <n v="6.8"/>
    <x v="0"/>
    <x v="31"/>
    <x v="160"/>
  </r>
  <r>
    <s v="After"/>
    <x v="5"/>
    <s v="20%2+80%8"/>
    <n v="8"/>
    <n v="6.8"/>
    <x v="0"/>
    <x v="32"/>
    <x v="161"/>
  </r>
  <r>
    <s v="After"/>
    <x v="5"/>
    <s v="20%2+80%8"/>
    <n v="8"/>
    <n v="6.8"/>
    <x v="0"/>
    <x v="33"/>
    <x v="162"/>
  </r>
  <r>
    <s v="After"/>
    <x v="5"/>
    <s v="20%2+80%8"/>
    <n v="8"/>
    <n v="6.8"/>
    <x v="0"/>
    <x v="34"/>
    <x v="163"/>
  </r>
  <r>
    <s v="After"/>
    <x v="5"/>
    <s v="20%2+80%8"/>
    <n v="8"/>
    <n v="6.8"/>
    <x v="0"/>
    <x v="35"/>
    <x v="119"/>
  </r>
  <r>
    <s v="After"/>
    <x v="5"/>
    <s v="20%2+80%8"/>
    <n v="8"/>
    <n v="6.8"/>
    <x v="0"/>
    <x v="36"/>
    <x v="164"/>
  </r>
  <r>
    <s v="After"/>
    <x v="5"/>
    <s v="20%2+80%8"/>
    <n v="8"/>
    <n v="6.8"/>
    <x v="0"/>
    <x v="37"/>
    <x v="165"/>
  </r>
  <r>
    <s v="After"/>
    <x v="5"/>
    <s v="20%2+80%8"/>
    <n v="8"/>
    <n v="6.8"/>
    <x v="0"/>
    <x v="38"/>
    <x v="163"/>
  </r>
  <r>
    <s v="After"/>
    <x v="5"/>
    <s v="20%2+80%8"/>
    <n v="8"/>
    <n v="6.8"/>
    <x v="0"/>
    <x v="39"/>
    <x v="166"/>
  </r>
  <r>
    <s v="After"/>
    <x v="5"/>
    <s v="20%2+80%8"/>
    <n v="8"/>
    <n v="6.8"/>
    <x v="0"/>
    <x v="40"/>
    <x v="75"/>
  </r>
  <r>
    <s v="After"/>
    <x v="0"/>
    <n v="1"/>
    <n v="10"/>
    <n v="8"/>
    <x v="1"/>
    <x v="0"/>
    <x v="8"/>
  </r>
  <r>
    <s v="After"/>
    <x v="0"/>
    <n v="1"/>
    <n v="10"/>
    <n v="8"/>
    <x v="1"/>
    <x v="1"/>
    <x v="167"/>
  </r>
  <r>
    <s v="After"/>
    <x v="0"/>
    <n v="1"/>
    <n v="10"/>
    <n v="8"/>
    <x v="1"/>
    <x v="2"/>
    <x v="168"/>
  </r>
  <r>
    <s v="After"/>
    <x v="0"/>
    <n v="1"/>
    <n v="10"/>
    <n v="8"/>
    <x v="1"/>
    <x v="3"/>
    <x v="169"/>
  </r>
  <r>
    <s v="After"/>
    <x v="0"/>
    <n v="1"/>
    <n v="10"/>
    <n v="8"/>
    <x v="1"/>
    <x v="4"/>
    <x v="77"/>
  </r>
  <r>
    <s v="After"/>
    <x v="0"/>
    <n v="1"/>
    <n v="10"/>
    <n v="8"/>
    <x v="1"/>
    <x v="5"/>
    <x v="170"/>
  </r>
  <r>
    <s v="After"/>
    <x v="0"/>
    <n v="1"/>
    <n v="10"/>
    <n v="8"/>
    <x v="1"/>
    <x v="6"/>
    <x v="171"/>
  </r>
  <r>
    <s v="After"/>
    <x v="0"/>
    <n v="1"/>
    <n v="10"/>
    <n v="8"/>
    <x v="1"/>
    <x v="7"/>
    <x v="141"/>
  </r>
  <r>
    <s v="After"/>
    <x v="0"/>
    <n v="1"/>
    <n v="10"/>
    <n v="8"/>
    <x v="1"/>
    <x v="8"/>
    <x v="172"/>
  </r>
  <r>
    <s v="After"/>
    <x v="0"/>
    <n v="1"/>
    <n v="10"/>
    <n v="8"/>
    <x v="1"/>
    <x v="9"/>
    <x v="8"/>
  </r>
  <r>
    <s v="After"/>
    <x v="0"/>
    <n v="1"/>
    <n v="10"/>
    <n v="8"/>
    <x v="1"/>
    <x v="10"/>
    <x v="173"/>
  </r>
  <r>
    <s v="After"/>
    <x v="0"/>
    <n v="1"/>
    <n v="10"/>
    <n v="8"/>
    <x v="1"/>
    <x v="11"/>
    <x v="174"/>
  </r>
  <r>
    <s v="After"/>
    <x v="0"/>
    <n v="1"/>
    <n v="10"/>
    <n v="8"/>
    <x v="1"/>
    <x v="12"/>
    <x v="38"/>
  </r>
  <r>
    <s v="After"/>
    <x v="0"/>
    <n v="1"/>
    <n v="10"/>
    <n v="8"/>
    <x v="1"/>
    <x v="13"/>
    <x v="175"/>
  </r>
  <r>
    <s v="After"/>
    <x v="0"/>
    <n v="1"/>
    <n v="10"/>
    <n v="8"/>
    <x v="1"/>
    <x v="14"/>
    <x v="176"/>
  </r>
  <r>
    <s v="After"/>
    <x v="0"/>
    <n v="1"/>
    <n v="10"/>
    <n v="8"/>
    <x v="1"/>
    <x v="15"/>
    <x v="177"/>
  </r>
  <r>
    <s v="After"/>
    <x v="0"/>
    <n v="1"/>
    <n v="10"/>
    <n v="8"/>
    <x v="1"/>
    <x v="16"/>
    <x v="178"/>
  </r>
  <r>
    <s v="After"/>
    <x v="0"/>
    <n v="1"/>
    <n v="10"/>
    <n v="8"/>
    <x v="1"/>
    <x v="17"/>
    <x v="179"/>
  </r>
  <r>
    <s v="After"/>
    <x v="0"/>
    <n v="1"/>
    <n v="10"/>
    <n v="8"/>
    <x v="1"/>
    <x v="18"/>
    <x v="8"/>
  </r>
  <r>
    <s v="After"/>
    <x v="0"/>
    <n v="1"/>
    <n v="10"/>
    <n v="8"/>
    <x v="1"/>
    <x v="19"/>
    <x v="176"/>
  </r>
  <r>
    <s v="After"/>
    <x v="0"/>
    <n v="1"/>
    <n v="10"/>
    <n v="8"/>
    <x v="1"/>
    <x v="20"/>
    <x v="180"/>
  </r>
  <r>
    <s v="After"/>
    <x v="0"/>
    <n v="1"/>
    <n v="10"/>
    <n v="8"/>
    <x v="1"/>
    <x v="21"/>
    <x v="141"/>
  </r>
  <r>
    <s v="After"/>
    <x v="0"/>
    <n v="1"/>
    <n v="10"/>
    <n v="8"/>
    <x v="1"/>
    <x v="22"/>
    <x v="8"/>
  </r>
  <r>
    <s v="After"/>
    <x v="0"/>
    <n v="1"/>
    <n v="10"/>
    <n v="8"/>
    <x v="1"/>
    <x v="23"/>
    <x v="181"/>
  </r>
  <r>
    <s v="After"/>
    <x v="0"/>
    <n v="1"/>
    <n v="10"/>
    <n v="8"/>
    <x v="1"/>
    <x v="24"/>
    <x v="182"/>
  </r>
  <r>
    <s v="After"/>
    <x v="0"/>
    <n v="1"/>
    <n v="10"/>
    <n v="8"/>
    <x v="1"/>
    <x v="25"/>
    <x v="183"/>
  </r>
  <r>
    <s v="After"/>
    <x v="0"/>
    <n v="1"/>
    <n v="10"/>
    <n v="8"/>
    <x v="1"/>
    <x v="26"/>
    <x v="141"/>
  </r>
  <r>
    <s v="After"/>
    <x v="0"/>
    <n v="1"/>
    <n v="10"/>
    <n v="8"/>
    <x v="1"/>
    <x v="27"/>
    <x v="184"/>
  </r>
  <r>
    <s v="After"/>
    <x v="0"/>
    <n v="1"/>
    <n v="10"/>
    <n v="8"/>
    <x v="1"/>
    <x v="28"/>
    <x v="185"/>
  </r>
  <r>
    <s v="After"/>
    <x v="0"/>
    <n v="1"/>
    <n v="10"/>
    <n v="8"/>
    <x v="1"/>
    <x v="29"/>
    <x v="163"/>
  </r>
  <r>
    <s v="After"/>
    <x v="0"/>
    <n v="1"/>
    <n v="10"/>
    <n v="8"/>
    <x v="1"/>
    <x v="30"/>
    <x v="186"/>
  </r>
  <r>
    <s v="After"/>
    <x v="0"/>
    <n v="1"/>
    <n v="10"/>
    <n v="8"/>
    <x v="1"/>
    <x v="31"/>
    <x v="187"/>
  </r>
  <r>
    <s v="After"/>
    <x v="0"/>
    <n v="1"/>
    <n v="10"/>
    <n v="8"/>
    <x v="1"/>
    <x v="32"/>
    <x v="150"/>
  </r>
  <r>
    <s v="After"/>
    <x v="0"/>
    <n v="1"/>
    <n v="10"/>
    <n v="8"/>
    <x v="1"/>
    <x v="33"/>
    <x v="188"/>
  </r>
  <r>
    <s v="After"/>
    <x v="0"/>
    <n v="1"/>
    <n v="10"/>
    <n v="8"/>
    <x v="1"/>
    <x v="34"/>
    <x v="175"/>
  </r>
  <r>
    <s v="After"/>
    <x v="0"/>
    <n v="1"/>
    <n v="10"/>
    <n v="8"/>
    <x v="1"/>
    <x v="35"/>
    <x v="87"/>
  </r>
  <r>
    <s v="After"/>
    <x v="0"/>
    <n v="1"/>
    <n v="10"/>
    <n v="8"/>
    <x v="1"/>
    <x v="36"/>
    <x v="189"/>
  </r>
  <r>
    <s v="After"/>
    <x v="0"/>
    <n v="1"/>
    <n v="10"/>
    <n v="8"/>
    <x v="1"/>
    <x v="37"/>
    <x v="190"/>
  </r>
  <r>
    <s v="After"/>
    <x v="0"/>
    <n v="1"/>
    <n v="10"/>
    <n v="8"/>
    <x v="1"/>
    <x v="38"/>
    <x v="191"/>
  </r>
  <r>
    <s v="After"/>
    <x v="0"/>
    <n v="1"/>
    <n v="10"/>
    <n v="8"/>
    <x v="1"/>
    <x v="39"/>
    <x v="192"/>
  </r>
  <r>
    <s v="After"/>
    <x v="0"/>
    <n v="1"/>
    <n v="10"/>
    <n v="8"/>
    <x v="1"/>
    <x v="40"/>
    <x v="193"/>
  </r>
  <r>
    <s v="After"/>
    <x v="1"/>
    <s v="80%2+20%8"/>
    <n v="2"/>
    <n v="3.2"/>
    <x v="1"/>
    <x v="0"/>
    <x v="194"/>
  </r>
  <r>
    <s v="After"/>
    <x v="1"/>
    <s v="80%2+20%8"/>
    <n v="2"/>
    <n v="3.2"/>
    <x v="1"/>
    <x v="1"/>
    <x v="195"/>
  </r>
  <r>
    <s v="After"/>
    <x v="1"/>
    <s v="80%2+20%8"/>
    <n v="2"/>
    <n v="3.2"/>
    <x v="1"/>
    <x v="2"/>
    <x v="167"/>
  </r>
  <r>
    <s v="After"/>
    <x v="1"/>
    <s v="80%2+20%8"/>
    <n v="2"/>
    <n v="3.2"/>
    <x v="1"/>
    <x v="3"/>
    <x v="196"/>
  </r>
  <r>
    <s v="After"/>
    <x v="1"/>
    <s v="80%2+20%8"/>
    <n v="2"/>
    <n v="3.2"/>
    <x v="1"/>
    <x v="4"/>
    <x v="197"/>
  </r>
  <r>
    <s v="After"/>
    <x v="1"/>
    <s v="80%2+20%8"/>
    <n v="2"/>
    <n v="3.2"/>
    <x v="1"/>
    <x v="5"/>
    <x v="198"/>
  </r>
  <r>
    <s v="After"/>
    <x v="1"/>
    <s v="80%2+20%8"/>
    <n v="2"/>
    <n v="3.2"/>
    <x v="1"/>
    <x v="6"/>
    <x v="38"/>
  </r>
  <r>
    <s v="After"/>
    <x v="1"/>
    <s v="80%2+20%8"/>
    <n v="2"/>
    <n v="3.2"/>
    <x v="1"/>
    <x v="7"/>
    <x v="199"/>
  </r>
  <r>
    <s v="After"/>
    <x v="1"/>
    <s v="80%2+20%8"/>
    <n v="2"/>
    <n v="3.2"/>
    <x v="1"/>
    <x v="8"/>
    <x v="200"/>
  </r>
  <r>
    <s v="After"/>
    <x v="1"/>
    <s v="80%2+20%8"/>
    <n v="2"/>
    <n v="3.2"/>
    <x v="1"/>
    <x v="9"/>
    <x v="8"/>
  </r>
  <r>
    <s v="After"/>
    <x v="1"/>
    <s v="80%2+20%8"/>
    <n v="2"/>
    <n v="3.2"/>
    <x v="1"/>
    <x v="10"/>
    <x v="201"/>
  </r>
  <r>
    <s v="After"/>
    <x v="1"/>
    <s v="80%2+20%8"/>
    <n v="2"/>
    <n v="3.2"/>
    <x v="1"/>
    <x v="11"/>
    <x v="202"/>
  </r>
  <r>
    <s v="After"/>
    <x v="1"/>
    <s v="80%2+20%8"/>
    <n v="2"/>
    <n v="3.2"/>
    <x v="1"/>
    <x v="12"/>
    <x v="90"/>
  </r>
  <r>
    <s v="After"/>
    <x v="1"/>
    <s v="80%2+20%8"/>
    <n v="2"/>
    <n v="3.2"/>
    <x v="1"/>
    <x v="13"/>
    <x v="203"/>
  </r>
  <r>
    <s v="After"/>
    <x v="1"/>
    <s v="80%2+20%8"/>
    <n v="2"/>
    <n v="3.2"/>
    <x v="1"/>
    <x v="14"/>
    <x v="14"/>
  </r>
  <r>
    <s v="After"/>
    <x v="1"/>
    <s v="80%2+20%8"/>
    <n v="2"/>
    <n v="3.2"/>
    <x v="1"/>
    <x v="15"/>
    <x v="26"/>
  </r>
  <r>
    <s v="After"/>
    <x v="1"/>
    <s v="80%2+20%8"/>
    <n v="2"/>
    <n v="3.2"/>
    <x v="1"/>
    <x v="16"/>
    <x v="15"/>
  </r>
  <r>
    <s v="After"/>
    <x v="1"/>
    <s v="80%2+20%8"/>
    <n v="2"/>
    <n v="3.2"/>
    <x v="1"/>
    <x v="17"/>
    <x v="142"/>
  </r>
  <r>
    <s v="After"/>
    <x v="1"/>
    <s v="80%2+20%8"/>
    <n v="2"/>
    <n v="3.2"/>
    <x v="1"/>
    <x v="18"/>
    <x v="204"/>
  </r>
  <r>
    <s v="After"/>
    <x v="1"/>
    <s v="80%2+20%8"/>
    <n v="2"/>
    <n v="3.2"/>
    <x v="1"/>
    <x v="19"/>
    <x v="205"/>
  </r>
  <r>
    <s v="After"/>
    <x v="1"/>
    <s v="80%2+20%8"/>
    <n v="2"/>
    <n v="3.2"/>
    <x v="1"/>
    <x v="20"/>
    <x v="206"/>
  </r>
  <r>
    <s v="After"/>
    <x v="1"/>
    <s v="80%2+20%8"/>
    <n v="2"/>
    <n v="3.2"/>
    <x v="1"/>
    <x v="21"/>
    <x v="207"/>
  </r>
  <r>
    <s v="After"/>
    <x v="1"/>
    <s v="80%2+20%8"/>
    <n v="2"/>
    <n v="3.2"/>
    <x v="1"/>
    <x v="22"/>
    <x v="50"/>
  </r>
  <r>
    <s v="After"/>
    <x v="1"/>
    <s v="80%2+20%8"/>
    <n v="2"/>
    <n v="3.2"/>
    <x v="1"/>
    <x v="23"/>
    <x v="208"/>
  </r>
  <r>
    <s v="After"/>
    <x v="1"/>
    <s v="80%2+20%8"/>
    <n v="2"/>
    <n v="3.2"/>
    <x v="1"/>
    <x v="24"/>
    <x v="209"/>
  </r>
  <r>
    <s v="After"/>
    <x v="1"/>
    <s v="80%2+20%8"/>
    <n v="2"/>
    <n v="3.2"/>
    <x v="1"/>
    <x v="25"/>
    <x v="210"/>
  </r>
  <r>
    <s v="After"/>
    <x v="1"/>
    <s v="80%2+20%8"/>
    <n v="2"/>
    <n v="3.2"/>
    <x v="1"/>
    <x v="26"/>
    <x v="7"/>
  </r>
  <r>
    <s v="After"/>
    <x v="1"/>
    <s v="80%2+20%8"/>
    <n v="2"/>
    <n v="3.2"/>
    <x v="1"/>
    <x v="27"/>
    <x v="211"/>
  </r>
  <r>
    <s v="After"/>
    <x v="1"/>
    <s v="80%2+20%8"/>
    <n v="2"/>
    <n v="3.2"/>
    <x v="1"/>
    <x v="28"/>
    <x v="212"/>
  </r>
  <r>
    <s v="After"/>
    <x v="1"/>
    <s v="80%2+20%8"/>
    <n v="2"/>
    <n v="3.2"/>
    <x v="1"/>
    <x v="29"/>
    <x v="38"/>
  </r>
  <r>
    <s v="After"/>
    <x v="1"/>
    <s v="80%2+20%8"/>
    <n v="2"/>
    <n v="3.2"/>
    <x v="1"/>
    <x v="30"/>
    <x v="213"/>
  </r>
  <r>
    <s v="After"/>
    <x v="1"/>
    <s v="80%2+20%8"/>
    <n v="2"/>
    <n v="3.2"/>
    <x v="1"/>
    <x v="31"/>
    <x v="214"/>
  </r>
  <r>
    <s v="After"/>
    <x v="1"/>
    <s v="80%2+20%8"/>
    <n v="2"/>
    <n v="3.2"/>
    <x v="1"/>
    <x v="32"/>
    <x v="158"/>
  </r>
  <r>
    <s v="After"/>
    <x v="1"/>
    <s v="80%2+20%8"/>
    <n v="2"/>
    <n v="3.2"/>
    <x v="1"/>
    <x v="33"/>
    <x v="215"/>
  </r>
  <r>
    <s v="After"/>
    <x v="1"/>
    <s v="80%2+20%8"/>
    <n v="2"/>
    <n v="3.2"/>
    <x v="1"/>
    <x v="34"/>
    <x v="126"/>
  </r>
  <r>
    <s v="After"/>
    <x v="1"/>
    <s v="80%2+20%8"/>
    <n v="2"/>
    <n v="3.2"/>
    <x v="1"/>
    <x v="35"/>
    <x v="216"/>
  </r>
  <r>
    <s v="After"/>
    <x v="1"/>
    <s v="80%2+20%8"/>
    <n v="2"/>
    <n v="3.2"/>
    <x v="1"/>
    <x v="36"/>
    <x v="217"/>
  </r>
  <r>
    <s v="After"/>
    <x v="1"/>
    <s v="80%2+20%8"/>
    <n v="2"/>
    <n v="3.2"/>
    <x v="1"/>
    <x v="37"/>
    <x v="218"/>
  </r>
  <r>
    <s v="After"/>
    <x v="1"/>
    <s v="80%2+20%8"/>
    <n v="2"/>
    <n v="3.2"/>
    <x v="1"/>
    <x v="38"/>
    <x v="40"/>
  </r>
  <r>
    <s v="After"/>
    <x v="1"/>
    <s v="80%2+20%8"/>
    <n v="2"/>
    <n v="3.2"/>
    <x v="1"/>
    <x v="39"/>
    <x v="219"/>
  </r>
  <r>
    <s v="After"/>
    <x v="1"/>
    <s v="80%2+20%8"/>
    <n v="2"/>
    <n v="3.2"/>
    <x v="1"/>
    <x v="40"/>
    <x v="220"/>
  </r>
  <r>
    <s v="After"/>
    <x v="2"/>
    <s v="60%2+40%8"/>
    <n v="4"/>
    <n v="4.4000000000000004"/>
    <x v="1"/>
    <x v="0"/>
    <x v="103"/>
  </r>
  <r>
    <s v="After"/>
    <x v="2"/>
    <s v="60%2+40%8"/>
    <n v="4"/>
    <n v="4.4000000000000004"/>
    <x v="1"/>
    <x v="1"/>
    <x v="221"/>
  </r>
  <r>
    <s v="After"/>
    <x v="2"/>
    <s v="60%2+40%8"/>
    <n v="4"/>
    <n v="4.4000000000000004"/>
    <x v="1"/>
    <x v="2"/>
    <x v="38"/>
  </r>
  <r>
    <s v="After"/>
    <x v="2"/>
    <s v="60%2+40%8"/>
    <n v="4"/>
    <n v="4.4000000000000004"/>
    <x v="1"/>
    <x v="3"/>
    <x v="222"/>
  </r>
  <r>
    <s v="After"/>
    <x v="2"/>
    <s v="60%2+40%8"/>
    <n v="4"/>
    <n v="4.4000000000000004"/>
    <x v="1"/>
    <x v="4"/>
    <x v="223"/>
  </r>
  <r>
    <s v="After"/>
    <x v="2"/>
    <s v="60%2+40%8"/>
    <n v="4"/>
    <n v="4.4000000000000004"/>
    <x v="1"/>
    <x v="5"/>
    <x v="198"/>
  </r>
  <r>
    <s v="After"/>
    <x v="2"/>
    <s v="60%2+40%8"/>
    <n v="4"/>
    <n v="4.4000000000000004"/>
    <x v="1"/>
    <x v="6"/>
    <x v="38"/>
  </r>
  <r>
    <s v="After"/>
    <x v="2"/>
    <s v="60%2+40%8"/>
    <n v="4"/>
    <n v="4.4000000000000004"/>
    <x v="1"/>
    <x v="7"/>
    <x v="224"/>
  </r>
  <r>
    <s v="After"/>
    <x v="2"/>
    <s v="60%2+40%8"/>
    <n v="4"/>
    <n v="4.4000000000000004"/>
    <x v="1"/>
    <x v="8"/>
    <x v="225"/>
  </r>
  <r>
    <s v="After"/>
    <x v="2"/>
    <s v="60%2+40%8"/>
    <n v="4"/>
    <n v="4.4000000000000004"/>
    <x v="1"/>
    <x v="9"/>
    <x v="8"/>
  </r>
  <r>
    <s v="After"/>
    <x v="2"/>
    <s v="60%2+40%8"/>
    <n v="4"/>
    <n v="4.4000000000000004"/>
    <x v="1"/>
    <x v="10"/>
    <x v="226"/>
  </r>
  <r>
    <s v="After"/>
    <x v="2"/>
    <s v="60%2+40%8"/>
    <n v="4"/>
    <n v="4.4000000000000004"/>
    <x v="1"/>
    <x v="11"/>
    <x v="227"/>
  </r>
  <r>
    <s v="After"/>
    <x v="2"/>
    <s v="60%2+40%8"/>
    <n v="4"/>
    <n v="4.4000000000000004"/>
    <x v="1"/>
    <x v="12"/>
    <x v="228"/>
  </r>
  <r>
    <s v="After"/>
    <x v="2"/>
    <s v="60%2+40%8"/>
    <n v="4"/>
    <n v="4.4000000000000004"/>
    <x v="1"/>
    <x v="13"/>
    <x v="164"/>
  </r>
  <r>
    <s v="After"/>
    <x v="2"/>
    <s v="60%2+40%8"/>
    <n v="4"/>
    <n v="4.4000000000000004"/>
    <x v="1"/>
    <x v="14"/>
    <x v="121"/>
  </r>
  <r>
    <s v="After"/>
    <x v="2"/>
    <s v="60%2+40%8"/>
    <n v="4"/>
    <n v="4.4000000000000004"/>
    <x v="1"/>
    <x v="15"/>
    <x v="76"/>
  </r>
  <r>
    <s v="After"/>
    <x v="2"/>
    <s v="60%2+40%8"/>
    <n v="4"/>
    <n v="4.4000000000000004"/>
    <x v="1"/>
    <x v="16"/>
    <x v="229"/>
  </r>
  <r>
    <s v="After"/>
    <x v="2"/>
    <s v="60%2+40%8"/>
    <n v="4"/>
    <n v="4.4000000000000004"/>
    <x v="1"/>
    <x v="17"/>
    <x v="229"/>
  </r>
  <r>
    <s v="After"/>
    <x v="2"/>
    <s v="60%2+40%8"/>
    <n v="4"/>
    <n v="4.4000000000000004"/>
    <x v="1"/>
    <x v="18"/>
    <x v="128"/>
  </r>
  <r>
    <s v="After"/>
    <x v="2"/>
    <s v="60%2+40%8"/>
    <n v="4"/>
    <n v="4.4000000000000004"/>
    <x v="1"/>
    <x v="19"/>
    <x v="205"/>
  </r>
  <r>
    <s v="After"/>
    <x v="2"/>
    <s v="60%2+40%8"/>
    <n v="4"/>
    <n v="4.4000000000000004"/>
    <x v="1"/>
    <x v="20"/>
    <x v="230"/>
  </r>
  <r>
    <s v="After"/>
    <x v="2"/>
    <s v="60%2+40%8"/>
    <n v="4"/>
    <n v="4.4000000000000004"/>
    <x v="1"/>
    <x v="21"/>
    <x v="231"/>
  </r>
  <r>
    <s v="After"/>
    <x v="2"/>
    <s v="60%2+40%8"/>
    <n v="4"/>
    <n v="4.4000000000000004"/>
    <x v="1"/>
    <x v="22"/>
    <x v="232"/>
  </r>
  <r>
    <s v="After"/>
    <x v="2"/>
    <s v="60%2+40%8"/>
    <n v="4"/>
    <n v="4.4000000000000004"/>
    <x v="1"/>
    <x v="23"/>
    <x v="233"/>
  </r>
  <r>
    <s v="After"/>
    <x v="2"/>
    <s v="60%2+40%8"/>
    <n v="4"/>
    <n v="4.4000000000000004"/>
    <x v="1"/>
    <x v="24"/>
    <x v="50"/>
  </r>
  <r>
    <s v="After"/>
    <x v="2"/>
    <s v="60%2+40%8"/>
    <n v="4"/>
    <n v="4.4000000000000004"/>
    <x v="1"/>
    <x v="25"/>
    <x v="52"/>
  </r>
  <r>
    <s v="After"/>
    <x v="2"/>
    <s v="60%2+40%8"/>
    <n v="4"/>
    <n v="4.4000000000000004"/>
    <x v="1"/>
    <x v="26"/>
    <x v="234"/>
  </r>
  <r>
    <s v="After"/>
    <x v="2"/>
    <s v="60%2+40%8"/>
    <n v="4"/>
    <n v="4.4000000000000004"/>
    <x v="1"/>
    <x v="27"/>
    <x v="235"/>
  </r>
  <r>
    <s v="After"/>
    <x v="2"/>
    <s v="60%2+40%8"/>
    <n v="4"/>
    <n v="4.4000000000000004"/>
    <x v="1"/>
    <x v="28"/>
    <x v="236"/>
  </r>
  <r>
    <s v="After"/>
    <x v="2"/>
    <s v="60%2+40%8"/>
    <n v="4"/>
    <n v="4.4000000000000004"/>
    <x v="1"/>
    <x v="29"/>
    <x v="237"/>
  </r>
  <r>
    <s v="After"/>
    <x v="2"/>
    <s v="60%2+40%8"/>
    <n v="4"/>
    <n v="4.4000000000000004"/>
    <x v="1"/>
    <x v="30"/>
    <x v="236"/>
  </r>
  <r>
    <s v="After"/>
    <x v="2"/>
    <s v="60%2+40%8"/>
    <n v="4"/>
    <n v="4.4000000000000004"/>
    <x v="1"/>
    <x v="31"/>
    <x v="238"/>
  </r>
  <r>
    <s v="After"/>
    <x v="2"/>
    <s v="60%2+40%8"/>
    <n v="4"/>
    <n v="4.4000000000000004"/>
    <x v="1"/>
    <x v="32"/>
    <x v="239"/>
  </r>
  <r>
    <s v="After"/>
    <x v="2"/>
    <s v="60%2+40%8"/>
    <n v="4"/>
    <n v="4.4000000000000004"/>
    <x v="1"/>
    <x v="33"/>
    <x v="240"/>
  </r>
  <r>
    <s v="After"/>
    <x v="2"/>
    <s v="60%2+40%8"/>
    <n v="4"/>
    <n v="4.4000000000000004"/>
    <x v="1"/>
    <x v="34"/>
    <x v="87"/>
  </r>
  <r>
    <s v="After"/>
    <x v="2"/>
    <s v="60%2+40%8"/>
    <n v="4"/>
    <n v="4.4000000000000004"/>
    <x v="1"/>
    <x v="35"/>
    <x v="26"/>
  </r>
  <r>
    <s v="After"/>
    <x v="2"/>
    <s v="60%2+40%8"/>
    <n v="4"/>
    <n v="4.4000000000000004"/>
    <x v="1"/>
    <x v="36"/>
    <x v="241"/>
  </r>
  <r>
    <s v="After"/>
    <x v="2"/>
    <s v="60%2+40%8"/>
    <n v="4"/>
    <n v="4.4000000000000004"/>
    <x v="1"/>
    <x v="37"/>
    <x v="242"/>
  </r>
  <r>
    <s v="After"/>
    <x v="2"/>
    <s v="60%2+40%8"/>
    <n v="4"/>
    <n v="4.4000000000000004"/>
    <x v="1"/>
    <x v="38"/>
    <x v="243"/>
  </r>
  <r>
    <s v="After"/>
    <x v="2"/>
    <s v="60%2+40%8"/>
    <n v="4"/>
    <n v="4.4000000000000004"/>
    <x v="1"/>
    <x v="39"/>
    <x v="31"/>
  </r>
  <r>
    <s v="After"/>
    <x v="2"/>
    <s v="60%2+40%8"/>
    <n v="4"/>
    <n v="4.4000000000000004"/>
    <x v="1"/>
    <x v="40"/>
    <x v="108"/>
  </r>
  <r>
    <s v="After"/>
    <x v="3"/>
    <s v="50%2+50%8"/>
    <n v="5"/>
    <n v="5"/>
    <x v="1"/>
    <x v="0"/>
    <x v="244"/>
  </r>
  <r>
    <s v="After"/>
    <x v="3"/>
    <s v="50%2+50%8"/>
    <n v="5"/>
    <n v="5"/>
    <x v="1"/>
    <x v="1"/>
    <x v="6"/>
  </r>
  <r>
    <s v="After"/>
    <x v="3"/>
    <s v="50%2+50%8"/>
    <n v="5"/>
    <n v="5"/>
    <x v="1"/>
    <x v="2"/>
    <x v="245"/>
  </r>
  <r>
    <s v="After"/>
    <x v="3"/>
    <s v="50%2+50%8"/>
    <n v="5"/>
    <n v="5"/>
    <x v="1"/>
    <x v="3"/>
    <x v="11"/>
  </r>
  <r>
    <s v="After"/>
    <x v="3"/>
    <s v="50%2+50%8"/>
    <n v="5"/>
    <n v="5"/>
    <x v="1"/>
    <x v="4"/>
    <x v="246"/>
  </r>
  <r>
    <s v="After"/>
    <x v="3"/>
    <s v="50%2+50%8"/>
    <n v="5"/>
    <n v="5"/>
    <x v="1"/>
    <x v="5"/>
    <x v="6"/>
  </r>
  <r>
    <s v="After"/>
    <x v="3"/>
    <s v="50%2+50%8"/>
    <n v="5"/>
    <n v="5"/>
    <x v="1"/>
    <x v="6"/>
    <x v="247"/>
  </r>
  <r>
    <s v="After"/>
    <x v="3"/>
    <s v="50%2+50%8"/>
    <n v="5"/>
    <n v="5"/>
    <x v="1"/>
    <x v="7"/>
    <x v="248"/>
  </r>
  <r>
    <s v="After"/>
    <x v="3"/>
    <s v="50%2+50%8"/>
    <n v="5"/>
    <n v="5"/>
    <x v="1"/>
    <x v="8"/>
    <x v="217"/>
  </r>
  <r>
    <s v="After"/>
    <x v="3"/>
    <s v="50%2+50%8"/>
    <n v="5"/>
    <n v="5"/>
    <x v="1"/>
    <x v="9"/>
    <x v="8"/>
  </r>
  <r>
    <s v="After"/>
    <x v="3"/>
    <s v="50%2+50%8"/>
    <n v="5"/>
    <n v="5"/>
    <x v="1"/>
    <x v="10"/>
    <x v="249"/>
  </r>
  <r>
    <s v="After"/>
    <x v="3"/>
    <s v="50%2+50%8"/>
    <n v="5"/>
    <n v="5"/>
    <x v="1"/>
    <x v="11"/>
    <x v="250"/>
  </r>
  <r>
    <s v="After"/>
    <x v="3"/>
    <s v="50%2+50%8"/>
    <n v="5"/>
    <n v="5"/>
    <x v="1"/>
    <x v="12"/>
    <x v="251"/>
  </r>
  <r>
    <s v="After"/>
    <x v="3"/>
    <s v="50%2+50%8"/>
    <n v="5"/>
    <n v="5"/>
    <x v="1"/>
    <x v="13"/>
    <x v="252"/>
  </r>
  <r>
    <s v="After"/>
    <x v="3"/>
    <s v="50%2+50%8"/>
    <n v="5"/>
    <n v="5"/>
    <x v="1"/>
    <x v="14"/>
    <x v="26"/>
  </r>
  <r>
    <s v="After"/>
    <x v="3"/>
    <s v="50%2+50%8"/>
    <n v="5"/>
    <n v="5"/>
    <x v="1"/>
    <x v="15"/>
    <x v="197"/>
  </r>
  <r>
    <s v="After"/>
    <x v="3"/>
    <s v="50%2+50%8"/>
    <n v="5"/>
    <n v="5"/>
    <x v="1"/>
    <x v="16"/>
    <x v="253"/>
  </r>
  <r>
    <s v="After"/>
    <x v="3"/>
    <s v="50%2+50%8"/>
    <n v="5"/>
    <n v="5"/>
    <x v="1"/>
    <x v="17"/>
    <x v="254"/>
  </r>
  <r>
    <s v="After"/>
    <x v="3"/>
    <s v="50%2+50%8"/>
    <n v="5"/>
    <n v="5"/>
    <x v="1"/>
    <x v="18"/>
    <x v="31"/>
  </r>
  <r>
    <s v="After"/>
    <x v="3"/>
    <s v="50%2+50%8"/>
    <n v="5"/>
    <n v="5"/>
    <x v="1"/>
    <x v="19"/>
    <x v="113"/>
  </r>
  <r>
    <s v="After"/>
    <x v="3"/>
    <s v="50%2+50%8"/>
    <n v="5"/>
    <n v="5"/>
    <x v="1"/>
    <x v="20"/>
    <x v="255"/>
  </r>
  <r>
    <s v="After"/>
    <x v="3"/>
    <s v="50%2+50%8"/>
    <n v="5"/>
    <n v="5"/>
    <x v="1"/>
    <x v="21"/>
    <x v="38"/>
  </r>
  <r>
    <s v="After"/>
    <x v="3"/>
    <s v="50%2+50%8"/>
    <n v="5"/>
    <n v="5"/>
    <x v="1"/>
    <x v="22"/>
    <x v="32"/>
  </r>
  <r>
    <s v="After"/>
    <x v="3"/>
    <s v="50%2+50%8"/>
    <n v="5"/>
    <n v="5"/>
    <x v="1"/>
    <x v="23"/>
    <x v="256"/>
  </r>
  <r>
    <s v="After"/>
    <x v="3"/>
    <s v="50%2+50%8"/>
    <n v="5"/>
    <n v="5"/>
    <x v="1"/>
    <x v="24"/>
    <x v="155"/>
  </r>
  <r>
    <s v="After"/>
    <x v="3"/>
    <s v="50%2+50%8"/>
    <n v="5"/>
    <n v="5"/>
    <x v="1"/>
    <x v="25"/>
    <x v="86"/>
  </r>
  <r>
    <s v="After"/>
    <x v="3"/>
    <s v="50%2+50%8"/>
    <n v="5"/>
    <n v="5"/>
    <x v="1"/>
    <x v="26"/>
    <x v="100"/>
  </r>
  <r>
    <s v="After"/>
    <x v="3"/>
    <s v="50%2+50%8"/>
    <n v="5"/>
    <n v="5"/>
    <x v="1"/>
    <x v="27"/>
    <x v="210"/>
  </r>
  <r>
    <s v="After"/>
    <x v="3"/>
    <s v="50%2+50%8"/>
    <n v="5"/>
    <n v="5"/>
    <x v="1"/>
    <x v="28"/>
    <x v="157"/>
  </r>
  <r>
    <s v="After"/>
    <x v="3"/>
    <s v="50%2+50%8"/>
    <n v="5"/>
    <n v="5"/>
    <x v="1"/>
    <x v="29"/>
    <x v="11"/>
  </r>
  <r>
    <s v="After"/>
    <x v="3"/>
    <s v="50%2+50%8"/>
    <n v="5"/>
    <n v="5"/>
    <x v="1"/>
    <x v="30"/>
    <x v="257"/>
  </r>
  <r>
    <s v="After"/>
    <x v="3"/>
    <s v="50%2+50%8"/>
    <n v="5"/>
    <n v="5"/>
    <x v="1"/>
    <x v="31"/>
    <x v="258"/>
  </r>
  <r>
    <s v="After"/>
    <x v="3"/>
    <s v="50%2+50%8"/>
    <n v="5"/>
    <n v="5"/>
    <x v="1"/>
    <x v="32"/>
    <x v="259"/>
  </r>
  <r>
    <s v="After"/>
    <x v="3"/>
    <s v="50%2+50%8"/>
    <n v="5"/>
    <n v="5"/>
    <x v="1"/>
    <x v="33"/>
    <x v="135"/>
  </r>
  <r>
    <s v="After"/>
    <x v="3"/>
    <s v="50%2+50%8"/>
    <n v="5"/>
    <n v="5"/>
    <x v="1"/>
    <x v="34"/>
    <x v="157"/>
  </r>
  <r>
    <s v="After"/>
    <x v="3"/>
    <s v="50%2+50%8"/>
    <n v="5"/>
    <n v="5"/>
    <x v="1"/>
    <x v="35"/>
    <x v="113"/>
  </r>
  <r>
    <s v="After"/>
    <x v="3"/>
    <s v="50%2+50%8"/>
    <n v="5"/>
    <n v="5"/>
    <x v="1"/>
    <x v="36"/>
    <x v="260"/>
  </r>
  <r>
    <s v="After"/>
    <x v="3"/>
    <s v="50%2+50%8"/>
    <n v="5"/>
    <n v="5"/>
    <x v="1"/>
    <x v="37"/>
    <x v="237"/>
  </r>
  <r>
    <s v="After"/>
    <x v="3"/>
    <s v="50%2+50%8"/>
    <n v="5"/>
    <n v="5"/>
    <x v="1"/>
    <x v="38"/>
    <x v="87"/>
  </r>
  <r>
    <s v="After"/>
    <x v="3"/>
    <s v="50%2+50%8"/>
    <n v="5"/>
    <n v="5"/>
    <x v="1"/>
    <x v="39"/>
    <x v="87"/>
  </r>
  <r>
    <s v="After"/>
    <x v="3"/>
    <s v="50%2+50%8"/>
    <n v="5"/>
    <n v="5"/>
    <x v="1"/>
    <x v="40"/>
    <x v="261"/>
  </r>
  <r>
    <s v="After"/>
    <x v="4"/>
    <s v="40%2+60%8"/>
    <n v="6"/>
    <n v="5.6"/>
    <x v="1"/>
    <x v="0"/>
    <x v="136"/>
  </r>
  <r>
    <s v="After"/>
    <x v="4"/>
    <s v="40%2+60%8"/>
    <n v="6"/>
    <n v="5.6"/>
    <x v="1"/>
    <x v="1"/>
    <x v="215"/>
  </r>
  <r>
    <s v="After"/>
    <x v="4"/>
    <s v="40%2+60%8"/>
    <n v="6"/>
    <n v="5.6"/>
    <x v="1"/>
    <x v="2"/>
    <x v="32"/>
  </r>
  <r>
    <s v="After"/>
    <x v="4"/>
    <s v="40%2+60%8"/>
    <n v="6"/>
    <n v="5.6"/>
    <x v="1"/>
    <x v="3"/>
    <x v="262"/>
  </r>
  <r>
    <s v="After"/>
    <x v="4"/>
    <s v="40%2+60%8"/>
    <n v="6"/>
    <n v="5.6"/>
    <x v="1"/>
    <x v="4"/>
    <x v="263"/>
  </r>
  <r>
    <s v="After"/>
    <x v="4"/>
    <s v="40%2+60%8"/>
    <n v="6"/>
    <n v="5.6"/>
    <x v="1"/>
    <x v="5"/>
    <x v="121"/>
  </r>
  <r>
    <s v="After"/>
    <x v="4"/>
    <s v="40%2+60%8"/>
    <n v="6"/>
    <n v="5.6"/>
    <x v="1"/>
    <x v="6"/>
    <x v="254"/>
  </r>
  <r>
    <s v="After"/>
    <x v="4"/>
    <s v="40%2+60%8"/>
    <n v="6"/>
    <n v="5.6"/>
    <x v="1"/>
    <x v="7"/>
    <x v="151"/>
  </r>
  <r>
    <s v="After"/>
    <x v="4"/>
    <s v="40%2+60%8"/>
    <n v="6"/>
    <n v="5.6"/>
    <x v="1"/>
    <x v="8"/>
    <x v="264"/>
  </r>
  <r>
    <s v="After"/>
    <x v="4"/>
    <s v="40%2+60%8"/>
    <n v="6"/>
    <n v="5.6"/>
    <x v="1"/>
    <x v="9"/>
    <x v="8"/>
  </r>
  <r>
    <s v="After"/>
    <x v="4"/>
    <s v="40%2+60%8"/>
    <n v="6"/>
    <n v="5.6"/>
    <x v="1"/>
    <x v="10"/>
    <x v="265"/>
  </r>
  <r>
    <s v="After"/>
    <x v="4"/>
    <s v="40%2+60%8"/>
    <n v="6"/>
    <n v="5.6"/>
    <x v="1"/>
    <x v="11"/>
    <x v="89"/>
  </r>
  <r>
    <s v="After"/>
    <x v="4"/>
    <s v="40%2+60%8"/>
    <n v="6"/>
    <n v="5.6"/>
    <x v="1"/>
    <x v="12"/>
    <x v="266"/>
  </r>
  <r>
    <s v="After"/>
    <x v="4"/>
    <s v="40%2+60%8"/>
    <n v="6"/>
    <n v="5.6"/>
    <x v="1"/>
    <x v="13"/>
    <x v="146"/>
  </r>
  <r>
    <s v="After"/>
    <x v="4"/>
    <s v="40%2+60%8"/>
    <n v="6"/>
    <n v="5.6"/>
    <x v="1"/>
    <x v="14"/>
    <x v="142"/>
  </r>
  <r>
    <s v="After"/>
    <x v="4"/>
    <s v="40%2+60%8"/>
    <n v="6"/>
    <n v="5.6"/>
    <x v="1"/>
    <x v="15"/>
    <x v="263"/>
  </r>
  <r>
    <s v="After"/>
    <x v="4"/>
    <s v="40%2+60%8"/>
    <n v="6"/>
    <n v="5.6"/>
    <x v="1"/>
    <x v="16"/>
    <x v="267"/>
  </r>
  <r>
    <s v="After"/>
    <x v="4"/>
    <s v="40%2+60%8"/>
    <n v="6"/>
    <n v="5.6"/>
    <x v="1"/>
    <x v="17"/>
    <x v="126"/>
  </r>
  <r>
    <s v="After"/>
    <x v="4"/>
    <s v="40%2+60%8"/>
    <n v="6"/>
    <n v="5.6"/>
    <x v="1"/>
    <x v="18"/>
    <x v="268"/>
  </r>
  <r>
    <s v="After"/>
    <x v="4"/>
    <s v="40%2+60%8"/>
    <n v="6"/>
    <n v="5.6"/>
    <x v="1"/>
    <x v="19"/>
    <x v="269"/>
  </r>
  <r>
    <s v="After"/>
    <x v="4"/>
    <s v="40%2+60%8"/>
    <n v="6"/>
    <n v="5.6"/>
    <x v="1"/>
    <x v="20"/>
    <x v="270"/>
  </r>
  <r>
    <s v="After"/>
    <x v="4"/>
    <s v="40%2+60%8"/>
    <n v="6"/>
    <n v="5.6"/>
    <x v="1"/>
    <x v="21"/>
    <x v="124"/>
  </r>
  <r>
    <s v="After"/>
    <x v="4"/>
    <s v="40%2+60%8"/>
    <n v="6"/>
    <n v="5.6"/>
    <x v="1"/>
    <x v="22"/>
    <x v="271"/>
  </r>
  <r>
    <s v="After"/>
    <x v="4"/>
    <s v="40%2+60%8"/>
    <n v="6"/>
    <n v="5.6"/>
    <x v="1"/>
    <x v="23"/>
    <x v="272"/>
  </r>
  <r>
    <s v="After"/>
    <x v="4"/>
    <s v="40%2+60%8"/>
    <n v="6"/>
    <n v="5.6"/>
    <x v="1"/>
    <x v="24"/>
    <x v="238"/>
  </r>
  <r>
    <s v="After"/>
    <x v="4"/>
    <s v="40%2+60%8"/>
    <n v="6"/>
    <n v="5.6"/>
    <x v="1"/>
    <x v="25"/>
    <x v="273"/>
  </r>
  <r>
    <s v="After"/>
    <x v="4"/>
    <s v="40%2+60%8"/>
    <n v="6"/>
    <n v="5.6"/>
    <x v="1"/>
    <x v="26"/>
    <x v="87"/>
  </r>
  <r>
    <s v="After"/>
    <x v="4"/>
    <s v="40%2+60%8"/>
    <n v="6"/>
    <n v="5.6"/>
    <x v="1"/>
    <x v="27"/>
    <x v="1"/>
  </r>
  <r>
    <s v="After"/>
    <x v="4"/>
    <s v="40%2+60%8"/>
    <n v="6"/>
    <n v="5.6"/>
    <x v="1"/>
    <x v="28"/>
    <x v="274"/>
  </r>
  <r>
    <s v="After"/>
    <x v="4"/>
    <s v="40%2+60%8"/>
    <n v="6"/>
    <n v="5.6"/>
    <x v="1"/>
    <x v="29"/>
    <x v="168"/>
  </r>
  <r>
    <s v="After"/>
    <x v="4"/>
    <s v="40%2+60%8"/>
    <n v="6"/>
    <n v="5.6"/>
    <x v="1"/>
    <x v="30"/>
    <x v="275"/>
  </r>
  <r>
    <s v="After"/>
    <x v="4"/>
    <s v="40%2+60%8"/>
    <n v="6"/>
    <n v="5.6"/>
    <x v="1"/>
    <x v="31"/>
    <x v="256"/>
  </r>
  <r>
    <s v="After"/>
    <x v="4"/>
    <s v="40%2+60%8"/>
    <n v="6"/>
    <n v="5.6"/>
    <x v="1"/>
    <x v="32"/>
    <x v="171"/>
  </r>
  <r>
    <s v="After"/>
    <x v="4"/>
    <s v="40%2+60%8"/>
    <n v="6"/>
    <n v="5.6"/>
    <x v="1"/>
    <x v="33"/>
    <x v="276"/>
  </r>
  <r>
    <s v="After"/>
    <x v="4"/>
    <s v="40%2+60%8"/>
    <n v="6"/>
    <n v="5.6"/>
    <x v="1"/>
    <x v="34"/>
    <x v="74"/>
  </r>
  <r>
    <s v="After"/>
    <x v="4"/>
    <s v="40%2+60%8"/>
    <n v="6"/>
    <n v="5.6"/>
    <x v="1"/>
    <x v="35"/>
    <x v="273"/>
  </r>
  <r>
    <s v="After"/>
    <x v="4"/>
    <s v="40%2+60%8"/>
    <n v="6"/>
    <n v="5.6"/>
    <x v="1"/>
    <x v="36"/>
    <x v="277"/>
  </r>
  <r>
    <s v="After"/>
    <x v="4"/>
    <s v="40%2+60%8"/>
    <n v="6"/>
    <n v="5.6"/>
    <x v="1"/>
    <x v="37"/>
    <x v="257"/>
  </r>
  <r>
    <s v="After"/>
    <x v="4"/>
    <s v="40%2+60%8"/>
    <n v="6"/>
    <n v="5.6"/>
    <x v="1"/>
    <x v="38"/>
    <x v="278"/>
  </r>
  <r>
    <s v="After"/>
    <x v="4"/>
    <s v="40%2+60%8"/>
    <n v="6"/>
    <n v="5.6"/>
    <x v="1"/>
    <x v="39"/>
    <x v="200"/>
  </r>
  <r>
    <s v="After"/>
    <x v="4"/>
    <s v="40%2+60%8"/>
    <n v="6"/>
    <n v="5.6"/>
    <x v="1"/>
    <x v="40"/>
    <x v="62"/>
  </r>
  <r>
    <s v="After"/>
    <x v="5"/>
    <s v="20%2+80%8"/>
    <n v="8"/>
    <n v="6.8"/>
    <x v="1"/>
    <x v="0"/>
    <x v="279"/>
  </r>
  <r>
    <s v="After"/>
    <x v="5"/>
    <s v="20%2+80%8"/>
    <n v="8"/>
    <n v="6.8"/>
    <x v="1"/>
    <x v="1"/>
    <x v="280"/>
  </r>
  <r>
    <s v="After"/>
    <x v="5"/>
    <s v="20%2+80%8"/>
    <n v="8"/>
    <n v="6.8"/>
    <x v="1"/>
    <x v="2"/>
    <x v="281"/>
  </r>
  <r>
    <s v="After"/>
    <x v="5"/>
    <s v="20%2+80%8"/>
    <n v="8"/>
    <n v="6.8"/>
    <x v="1"/>
    <x v="3"/>
    <x v="282"/>
  </r>
  <r>
    <s v="After"/>
    <x v="5"/>
    <s v="20%2+80%8"/>
    <n v="8"/>
    <n v="6.8"/>
    <x v="1"/>
    <x v="4"/>
    <x v="264"/>
  </r>
  <r>
    <s v="After"/>
    <x v="5"/>
    <s v="20%2+80%8"/>
    <n v="8"/>
    <n v="6.8"/>
    <x v="1"/>
    <x v="5"/>
    <x v="234"/>
  </r>
  <r>
    <s v="After"/>
    <x v="5"/>
    <s v="20%2+80%8"/>
    <n v="8"/>
    <n v="6.8"/>
    <x v="1"/>
    <x v="6"/>
    <x v="109"/>
  </r>
  <r>
    <s v="After"/>
    <x v="5"/>
    <s v="20%2+80%8"/>
    <n v="8"/>
    <n v="6.8"/>
    <x v="1"/>
    <x v="7"/>
    <x v="143"/>
  </r>
  <r>
    <s v="After"/>
    <x v="5"/>
    <s v="20%2+80%8"/>
    <n v="8"/>
    <n v="6.8"/>
    <x v="1"/>
    <x v="8"/>
    <x v="161"/>
  </r>
  <r>
    <s v="After"/>
    <x v="5"/>
    <s v="20%2+80%8"/>
    <n v="8"/>
    <n v="6.8"/>
    <x v="1"/>
    <x v="9"/>
    <x v="8"/>
  </r>
  <r>
    <s v="After"/>
    <x v="5"/>
    <s v="20%2+80%8"/>
    <n v="8"/>
    <n v="6.8"/>
    <x v="1"/>
    <x v="10"/>
    <x v="283"/>
  </r>
  <r>
    <s v="After"/>
    <x v="5"/>
    <s v="20%2+80%8"/>
    <n v="8"/>
    <n v="6.8"/>
    <x v="1"/>
    <x v="11"/>
    <x v="281"/>
  </r>
  <r>
    <s v="After"/>
    <x v="5"/>
    <s v="20%2+80%8"/>
    <n v="8"/>
    <n v="6.8"/>
    <x v="1"/>
    <x v="12"/>
    <x v="107"/>
  </r>
  <r>
    <s v="After"/>
    <x v="5"/>
    <s v="20%2+80%8"/>
    <n v="8"/>
    <n v="6.8"/>
    <x v="1"/>
    <x v="13"/>
    <x v="284"/>
  </r>
  <r>
    <s v="After"/>
    <x v="5"/>
    <s v="20%2+80%8"/>
    <n v="8"/>
    <n v="6.8"/>
    <x v="1"/>
    <x v="14"/>
    <x v="38"/>
  </r>
  <r>
    <s v="After"/>
    <x v="5"/>
    <s v="20%2+80%8"/>
    <n v="8"/>
    <n v="6.8"/>
    <x v="1"/>
    <x v="15"/>
    <x v="274"/>
  </r>
  <r>
    <s v="After"/>
    <x v="5"/>
    <s v="20%2+80%8"/>
    <n v="8"/>
    <n v="6.8"/>
    <x v="1"/>
    <x v="16"/>
    <x v="168"/>
  </r>
  <r>
    <s v="After"/>
    <x v="5"/>
    <s v="20%2+80%8"/>
    <n v="8"/>
    <n v="6.8"/>
    <x v="1"/>
    <x v="17"/>
    <x v="181"/>
  </r>
  <r>
    <s v="After"/>
    <x v="5"/>
    <s v="20%2+80%8"/>
    <n v="8"/>
    <n v="6.8"/>
    <x v="1"/>
    <x v="18"/>
    <x v="285"/>
  </r>
  <r>
    <s v="After"/>
    <x v="5"/>
    <s v="20%2+80%8"/>
    <n v="8"/>
    <n v="6.8"/>
    <x v="1"/>
    <x v="19"/>
    <x v="285"/>
  </r>
  <r>
    <s v="After"/>
    <x v="5"/>
    <s v="20%2+80%8"/>
    <n v="8"/>
    <n v="6.8"/>
    <x v="1"/>
    <x v="20"/>
    <x v="286"/>
  </r>
  <r>
    <s v="After"/>
    <x v="5"/>
    <s v="20%2+80%8"/>
    <n v="8"/>
    <n v="6.8"/>
    <x v="1"/>
    <x v="21"/>
    <x v="151"/>
  </r>
  <r>
    <s v="After"/>
    <x v="5"/>
    <s v="20%2+80%8"/>
    <n v="8"/>
    <n v="6.8"/>
    <x v="1"/>
    <x v="22"/>
    <x v="287"/>
  </r>
  <r>
    <s v="After"/>
    <x v="5"/>
    <s v="20%2+80%8"/>
    <n v="8"/>
    <n v="6.8"/>
    <x v="1"/>
    <x v="23"/>
    <x v="288"/>
  </r>
  <r>
    <s v="After"/>
    <x v="5"/>
    <s v="20%2+80%8"/>
    <n v="8"/>
    <n v="6.8"/>
    <x v="1"/>
    <x v="24"/>
    <x v="289"/>
  </r>
  <r>
    <s v="After"/>
    <x v="5"/>
    <s v="20%2+80%8"/>
    <n v="8"/>
    <n v="6.8"/>
    <x v="1"/>
    <x v="25"/>
    <x v="290"/>
  </r>
  <r>
    <s v="After"/>
    <x v="5"/>
    <s v="20%2+80%8"/>
    <n v="8"/>
    <n v="6.8"/>
    <x v="1"/>
    <x v="26"/>
    <x v="141"/>
  </r>
  <r>
    <s v="After"/>
    <x v="5"/>
    <s v="20%2+80%8"/>
    <n v="8"/>
    <n v="6.8"/>
    <x v="1"/>
    <x v="27"/>
    <x v="52"/>
  </r>
  <r>
    <s v="After"/>
    <x v="5"/>
    <s v="20%2+80%8"/>
    <n v="8"/>
    <n v="6.8"/>
    <x v="1"/>
    <x v="28"/>
    <x v="291"/>
  </r>
  <r>
    <s v="After"/>
    <x v="5"/>
    <s v="20%2+80%8"/>
    <n v="8"/>
    <n v="6.8"/>
    <x v="1"/>
    <x v="29"/>
    <x v="163"/>
  </r>
  <r>
    <s v="After"/>
    <x v="5"/>
    <s v="20%2+80%8"/>
    <n v="8"/>
    <n v="6.8"/>
    <x v="1"/>
    <x v="30"/>
    <x v="161"/>
  </r>
  <r>
    <s v="After"/>
    <x v="5"/>
    <s v="20%2+80%8"/>
    <n v="8"/>
    <n v="6.8"/>
    <x v="1"/>
    <x v="31"/>
    <x v="292"/>
  </r>
  <r>
    <s v="After"/>
    <x v="5"/>
    <s v="20%2+80%8"/>
    <n v="8"/>
    <n v="6.8"/>
    <x v="1"/>
    <x v="32"/>
    <x v="293"/>
  </r>
  <r>
    <s v="After"/>
    <x v="5"/>
    <s v="20%2+80%8"/>
    <n v="8"/>
    <n v="6.8"/>
    <x v="1"/>
    <x v="33"/>
    <x v="294"/>
  </r>
  <r>
    <s v="After"/>
    <x v="5"/>
    <s v="20%2+80%8"/>
    <n v="8"/>
    <n v="6.8"/>
    <x v="1"/>
    <x v="34"/>
    <x v="295"/>
  </r>
  <r>
    <s v="After"/>
    <x v="5"/>
    <s v="20%2+80%8"/>
    <n v="8"/>
    <n v="6.8"/>
    <x v="1"/>
    <x v="35"/>
    <x v="183"/>
  </r>
  <r>
    <s v="After"/>
    <x v="5"/>
    <s v="20%2+80%8"/>
    <n v="8"/>
    <n v="6.8"/>
    <x v="1"/>
    <x v="36"/>
    <x v="296"/>
  </r>
  <r>
    <s v="After"/>
    <x v="5"/>
    <s v="20%2+80%8"/>
    <n v="8"/>
    <n v="6.8"/>
    <x v="1"/>
    <x v="37"/>
    <x v="297"/>
  </r>
  <r>
    <s v="After"/>
    <x v="5"/>
    <s v="20%2+80%8"/>
    <n v="8"/>
    <n v="6.8"/>
    <x v="1"/>
    <x v="38"/>
    <x v="298"/>
  </r>
  <r>
    <s v="After"/>
    <x v="5"/>
    <s v="20%2+80%8"/>
    <n v="8"/>
    <n v="6.8"/>
    <x v="1"/>
    <x v="39"/>
    <x v="299"/>
  </r>
  <r>
    <s v="After"/>
    <x v="5"/>
    <s v="20%2+80%8"/>
    <n v="8"/>
    <n v="6.8"/>
    <x v="1"/>
    <x v="40"/>
    <x v="300"/>
  </r>
  <r>
    <s v="After"/>
    <x v="0"/>
    <n v="1"/>
    <n v="10"/>
    <n v="5"/>
    <x v="2"/>
    <x v="0"/>
    <x v="38"/>
  </r>
  <r>
    <s v="After"/>
    <x v="0"/>
    <n v="1"/>
    <n v="10"/>
    <n v="5"/>
    <x v="2"/>
    <x v="1"/>
    <x v="93"/>
  </r>
  <r>
    <s v="After"/>
    <x v="0"/>
    <n v="1"/>
    <n v="10"/>
    <n v="5"/>
    <x v="2"/>
    <x v="2"/>
    <x v="2"/>
  </r>
  <r>
    <s v="After"/>
    <x v="0"/>
    <n v="1"/>
    <n v="10"/>
    <n v="5"/>
    <x v="2"/>
    <x v="3"/>
    <x v="99"/>
  </r>
  <r>
    <s v="After"/>
    <x v="0"/>
    <n v="1"/>
    <n v="10"/>
    <n v="5"/>
    <x v="2"/>
    <x v="4"/>
    <x v="92"/>
  </r>
  <r>
    <s v="After"/>
    <x v="0"/>
    <n v="1"/>
    <n v="10"/>
    <n v="5"/>
    <x v="2"/>
    <x v="5"/>
    <x v="6"/>
  </r>
  <r>
    <s v="After"/>
    <x v="0"/>
    <n v="1"/>
    <n v="10"/>
    <n v="5"/>
    <x v="2"/>
    <x v="6"/>
    <x v="38"/>
  </r>
  <r>
    <s v="After"/>
    <x v="0"/>
    <n v="1"/>
    <n v="10"/>
    <n v="5"/>
    <x v="2"/>
    <x v="7"/>
    <x v="38"/>
  </r>
  <r>
    <s v="After"/>
    <x v="0"/>
    <n v="1"/>
    <n v="10"/>
    <n v="5"/>
    <x v="2"/>
    <x v="8"/>
    <x v="301"/>
  </r>
  <r>
    <s v="After"/>
    <x v="0"/>
    <n v="1"/>
    <n v="10"/>
    <n v="5"/>
    <x v="2"/>
    <x v="9"/>
    <x v="8"/>
  </r>
  <r>
    <s v="After"/>
    <x v="0"/>
    <n v="1"/>
    <n v="10"/>
    <n v="5"/>
    <x v="2"/>
    <x v="10"/>
    <x v="173"/>
  </r>
  <r>
    <s v="After"/>
    <x v="0"/>
    <n v="1"/>
    <n v="10"/>
    <n v="5"/>
    <x v="2"/>
    <x v="11"/>
    <x v="78"/>
  </r>
  <r>
    <s v="After"/>
    <x v="0"/>
    <n v="1"/>
    <n v="10"/>
    <n v="5"/>
    <x v="2"/>
    <x v="12"/>
    <x v="302"/>
  </r>
  <r>
    <s v="After"/>
    <x v="0"/>
    <n v="1"/>
    <n v="10"/>
    <n v="5"/>
    <x v="2"/>
    <x v="13"/>
    <x v="303"/>
  </r>
  <r>
    <s v="After"/>
    <x v="0"/>
    <n v="1"/>
    <n v="10"/>
    <n v="5"/>
    <x v="2"/>
    <x v="14"/>
    <x v="273"/>
  </r>
  <r>
    <s v="After"/>
    <x v="0"/>
    <n v="1"/>
    <n v="10"/>
    <n v="5"/>
    <x v="2"/>
    <x v="15"/>
    <x v="38"/>
  </r>
  <r>
    <s v="After"/>
    <x v="0"/>
    <n v="1"/>
    <n v="10"/>
    <n v="5"/>
    <x v="2"/>
    <x v="16"/>
    <x v="229"/>
  </r>
  <r>
    <s v="After"/>
    <x v="0"/>
    <n v="1"/>
    <n v="10"/>
    <n v="5"/>
    <x v="2"/>
    <x v="17"/>
    <x v="285"/>
  </r>
  <r>
    <s v="After"/>
    <x v="0"/>
    <n v="1"/>
    <n v="10"/>
    <n v="5"/>
    <x v="2"/>
    <x v="18"/>
    <x v="304"/>
  </r>
  <r>
    <s v="After"/>
    <x v="0"/>
    <n v="1"/>
    <n v="10"/>
    <n v="5"/>
    <x v="2"/>
    <x v="19"/>
    <x v="205"/>
  </r>
  <r>
    <s v="After"/>
    <x v="0"/>
    <n v="1"/>
    <n v="10"/>
    <n v="5"/>
    <x v="2"/>
    <x v="20"/>
    <x v="200"/>
  </r>
  <r>
    <s v="After"/>
    <x v="0"/>
    <n v="1"/>
    <n v="10"/>
    <n v="5"/>
    <x v="2"/>
    <x v="21"/>
    <x v="38"/>
  </r>
  <r>
    <s v="After"/>
    <x v="0"/>
    <n v="1"/>
    <n v="10"/>
    <n v="5"/>
    <x v="2"/>
    <x v="22"/>
    <x v="305"/>
  </r>
  <r>
    <s v="After"/>
    <x v="0"/>
    <n v="1"/>
    <n v="10"/>
    <n v="5"/>
    <x v="2"/>
    <x v="23"/>
    <x v="38"/>
  </r>
  <r>
    <s v="After"/>
    <x v="0"/>
    <n v="1"/>
    <n v="10"/>
    <n v="5"/>
    <x v="2"/>
    <x v="24"/>
    <x v="306"/>
  </r>
  <r>
    <s v="After"/>
    <x v="0"/>
    <n v="1"/>
    <n v="10"/>
    <n v="5"/>
    <x v="2"/>
    <x v="25"/>
    <x v="302"/>
  </r>
  <r>
    <s v="After"/>
    <x v="0"/>
    <n v="1"/>
    <n v="10"/>
    <n v="5"/>
    <x v="2"/>
    <x v="26"/>
    <x v="76"/>
  </r>
  <r>
    <s v="After"/>
    <x v="0"/>
    <n v="1"/>
    <n v="10"/>
    <n v="5"/>
    <x v="2"/>
    <x v="27"/>
    <x v="307"/>
  </r>
  <r>
    <s v="After"/>
    <x v="0"/>
    <n v="1"/>
    <n v="10"/>
    <n v="5"/>
    <x v="2"/>
    <x v="28"/>
    <x v="60"/>
  </r>
  <r>
    <s v="After"/>
    <x v="0"/>
    <n v="1"/>
    <n v="10"/>
    <n v="5"/>
    <x v="2"/>
    <x v="29"/>
    <x v="32"/>
  </r>
  <r>
    <s v="After"/>
    <x v="0"/>
    <n v="1"/>
    <n v="10"/>
    <n v="5"/>
    <x v="2"/>
    <x v="30"/>
    <x v="281"/>
  </r>
  <r>
    <s v="After"/>
    <x v="0"/>
    <n v="1"/>
    <n v="10"/>
    <n v="5"/>
    <x v="2"/>
    <x v="31"/>
    <x v="100"/>
  </r>
  <r>
    <s v="After"/>
    <x v="0"/>
    <n v="1"/>
    <n v="10"/>
    <n v="5"/>
    <x v="2"/>
    <x v="32"/>
    <x v="308"/>
  </r>
  <r>
    <s v="After"/>
    <x v="0"/>
    <n v="1"/>
    <n v="10"/>
    <n v="5"/>
    <x v="2"/>
    <x v="33"/>
    <x v="38"/>
  </r>
  <r>
    <s v="After"/>
    <x v="0"/>
    <n v="1"/>
    <n v="10"/>
    <n v="5"/>
    <x v="2"/>
    <x v="34"/>
    <x v="309"/>
  </r>
  <r>
    <s v="After"/>
    <x v="0"/>
    <n v="1"/>
    <n v="10"/>
    <n v="5"/>
    <x v="2"/>
    <x v="35"/>
    <x v="38"/>
  </r>
  <r>
    <s v="After"/>
    <x v="0"/>
    <n v="1"/>
    <n v="10"/>
    <n v="5"/>
    <x v="2"/>
    <x v="36"/>
    <x v="310"/>
  </r>
  <r>
    <s v="After"/>
    <x v="0"/>
    <n v="1"/>
    <n v="10"/>
    <n v="5"/>
    <x v="2"/>
    <x v="37"/>
    <x v="311"/>
  </r>
  <r>
    <s v="After"/>
    <x v="0"/>
    <n v="1"/>
    <n v="10"/>
    <n v="5"/>
    <x v="2"/>
    <x v="38"/>
    <x v="38"/>
  </r>
  <r>
    <s v="After"/>
    <x v="0"/>
    <n v="1"/>
    <n v="10"/>
    <n v="5"/>
    <x v="2"/>
    <x v="39"/>
    <x v="38"/>
  </r>
  <r>
    <s v="After"/>
    <x v="0"/>
    <n v="1"/>
    <n v="10"/>
    <n v="5"/>
    <x v="2"/>
    <x v="40"/>
    <x v="312"/>
  </r>
  <r>
    <s v="Before"/>
    <x v="1"/>
    <s v="80%2+20%8"/>
    <n v="2"/>
    <n v="3.2"/>
    <x v="2"/>
    <x v="0"/>
    <x v="0"/>
  </r>
  <r>
    <s v="Before"/>
    <x v="1"/>
    <s v="80%2+20%8"/>
    <n v="2"/>
    <n v="3.2"/>
    <x v="2"/>
    <x v="1"/>
    <x v="313"/>
  </r>
  <r>
    <s v="Before"/>
    <x v="1"/>
    <s v="80%2+20%8"/>
    <n v="2"/>
    <n v="3.2"/>
    <x v="2"/>
    <x v="2"/>
    <x v="38"/>
  </r>
  <r>
    <s v="Before"/>
    <x v="1"/>
    <s v="80%2+20%8"/>
    <n v="2"/>
    <n v="3.2"/>
    <x v="2"/>
    <x v="3"/>
    <x v="88"/>
  </r>
  <r>
    <s v="Before"/>
    <x v="1"/>
    <s v="80%2+20%8"/>
    <n v="2"/>
    <n v="3.2"/>
    <x v="2"/>
    <x v="4"/>
    <x v="183"/>
  </r>
  <r>
    <s v="Before"/>
    <x v="1"/>
    <s v="80%2+20%8"/>
    <n v="2"/>
    <n v="3.2"/>
    <x v="2"/>
    <x v="5"/>
    <x v="110"/>
  </r>
  <r>
    <s v="Before"/>
    <x v="1"/>
    <s v="80%2+20%8"/>
    <n v="2"/>
    <n v="3.2"/>
    <x v="2"/>
    <x v="6"/>
    <x v="314"/>
  </r>
  <r>
    <s v="Before"/>
    <x v="1"/>
    <s v="80%2+20%8"/>
    <n v="2"/>
    <n v="3.2"/>
    <x v="2"/>
    <x v="7"/>
    <x v="315"/>
  </r>
  <r>
    <s v="Before"/>
    <x v="1"/>
    <s v="80%2+20%8"/>
    <n v="2"/>
    <n v="3.2"/>
    <x v="2"/>
    <x v="8"/>
    <x v="316"/>
  </r>
  <r>
    <s v="Before"/>
    <x v="1"/>
    <s v="80%2+20%8"/>
    <n v="2"/>
    <n v="3.2"/>
    <x v="2"/>
    <x v="9"/>
    <x v="8"/>
  </r>
  <r>
    <s v="Before"/>
    <x v="1"/>
    <s v="80%2+20%8"/>
    <n v="2"/>
    <n v="3.2"/>
    <x v="2"/>
    <x v="10"/>
    <x v="71"/>
  </r>
  <r>
    <s v="Before"/>
    <x v="1"/>
    <s v="80%2+20%8"/>
    <n v="2"/>
    <n v="3.2"/>
    <x v="2"/>
    <x v="11"/>
    <x v="35"/>
  </r>
  <r>
    <s v="Before"/>
    <x v="1"/>
    <s v="80%2+20%8"/>
    <n v="2"/>
    <n v="3.2"/>
    <x v="2"/>
    <x v="12"/>
    <x v="47"/>
  </r>
  <r>
    <s v="Before"/>
    <x v="1"/>
    <s v="80%2+20%8"/>
    <n v="2"/>
    <n v="3.2"/>
    <x v="2"/>
    <x v="13"/>
    <x v="317"/>
  </r>
  <r>
    <s v="Before"/>
    <x v="1"/>
    <s v="80%2+20%8"/>
    <n v="2"/>
    <n v="3.2"/>
    <x v="2"/>
    <x v="14"/>
    <x v="12"/>
  </r>
  <r>
    <s v="Before"/>
    <x v="1"/>
    <s v="80%2+20%8"/>
    <n v="2"/>
    <n v="3.2"/>
    <x v="2"/>
    <x v="15"/>
    <x v="75"/>
  </r>
  <r>
    <s v="Before"/>
    <x v="1"/>
    <s v="80%2+20%8"/>
    <n v="2"/>
    <n v="3.2"/>
    <x v="2"/>
    <x v="16"/>
    <x v="213"/>
  </r>
  <r>
    <s v="Before"/>
    <x v="1"/>
    <s v="80%2+20%8"/>
    <n v="2"/>
    <n v="3.2"/>
    <x v="2"/>
    <x v="17"/>
    <x v="198"/>
  </r>
  <r>
    <s v="Before"/>
    <x v="1"/>
    <s v="80%2+20%8"/>
    <n v="2"/>
    <n v="3.2"/>
    <x v="2"/>
    <x v="18"/>
    <x v="57"/>
  </r>
  <r>
    <s v="Before"/>
    <x v="1"/>
    <s v="80%2+20%8"/>
    <n v="2"/>
    <n v="3.2"/>
    <x v="2"/>
    <x v="19"/>
    <x v="16"/>
  </r>
  <r>
    <s v="Before"/>
    <x v="1"/>
    <s v="80%2+20%8"/>
    <n v="2"/>
    <n v="3.2"/>
    <x v="2"/>
    <x v="20"/>
    <x v="174"/>
  </r>
  <r>
    <s v="Before"/>
    <x v="1"/>
    <s v="80%2+20%8"/>
    <n v="2"/>
    <n v="3.2"/>
    <x v="2"/>
    <x v="21"/>
    <x v="49"/>
  </r>
  <r>
    <s v="Before"/>
    <x v="1"/>
    <s v="80%2+20%8"/>
    <n v="2"/>
    <n v="3.2"/>
    <x v="2"/>
    <x v="22"/>
    <x v="318"/>
  </r>
  <r>
    <s v="Before"/>
    <x v="1"/>
    <s v="80%2+20%8"/>
    <n v="2"/>
    <n v="3.2"/>
    <x v="2"/>
    <x v="23"/>
    <x v="68"/>
  </r>
  <r>
    <s v="Before"/>
    <x v="1"/>
    <s v="80%2+20%8"/>
    <n v="2"/>
    <n v="3.2"/>
    <x v="2"/>
    <x v="24"/>
    <x v="195"/>
  </r>
  <r>
    <s v="Before"/>
    <x v="1"/>
    <s v="80%2+20%8"/>
    <n v="2"/>
    <n v="3.2"/>
    <x v="2"/>
    <x v="25"/>
    <x v="13"/>
  </r>
  <r>
    <s v="Before"/>
    <x v="1"/>
    <s v="80%2+20%8"/>
    <n v="2"/>
    <n v="3.2"/>
    <x v="2"/>
    <x v="26"/>
    <x v="0"/>
  </r>
  <r>
    <s v="Before"/>
    <x v="1"/>
    <s v="80%2+20%8"/>
    <n v="2"/>
    <n v="3.2"/>
    <x v="2"/>
    <x v="27"/>
    <x v="319"/>
  </r>
  <r>
    <s v="Before"/>
    <x v="1"/>
    <s v="80%2+20%8"/>
    <n v="2"/>
    <n v="3.2"/>
    <x v="2"/>
    <x v="28"/>
    <x v="320"/>
  </r>
  <r>
    <s v="Before"/>
    <x v="1"/>
    <s v="80%2+20%8"/>
    <n v="2"/>
    <n v="3.2"/>
    <x v="2"/>
    <x v="29"/>
    <x v="97"/>
  </r>
  <r>
    <s v="Before"/>
    <x v="1"/>
    <s v="80%2+20%8"/>
    <n v="2"/>
    <n v="3.2"/>
    <x v="2"/>
    <x v="30"/>
    <x v="170"/>
  </r>
  <r>
    <s v="Before"/>
    <x v="1"/>
    <s v="80%2+20%8"/>
    <n v="2"/>
    <n v="3.2"/>
    <x v="2"/>
    <x v="31"/>
    <x v="55"/>
  </r>
  <r>
    <s v="Before"/>
    <x v="1"/>
    <s v="80%2+20%8"/>
    <n v="2"/>
    <n v="3.2"/>
    <x v="2"/>
    <x v="32"/>
    <x v="5"/>
  </r>
  <r>
    <s v="Before"/>
    <x v="1"/>
    <s v="80%2+20%8"/>
    <n v="2"/>
    <n v="3.2"/>
    <x v="2"/>
    <x v="33"/>
    <x v="111"/>
  </r>
  <r>
    <s v="Before"/>
    <x v="1"/>
    <s v="80%2+20%8"/>
    <n v="2"/>
    <n v="3.2"/>
    <x v="2"/>
    <x v="34"/>
    <x v="199"/>
  </r>
  <r>
    <s v="Before"/>
    <x v="1"/>
    <s v="80%2+20%8"/>
    <n v="2"/>
    <n v="3.2"/>
    <x v="2"/>
    <x v="35"/>
    <x v="41"/>
  </r>
  <r>
    <s v="Before"/>
    <x v="1"/>
    <s v="80%2+20%8"/>
    <n v="2"/>
    <n v="3.2"/>
    <x v="2"/>
    <x v="36"/>
    <x v="321"/>
  </r>
  <r>
    <s v="Before"/>
    <x v="1"/>
    <s v="80%2+20%8"/>
    <n v="2"/>
    <n v="3.2"/>
    <x v="2"/>
    <x v="37"/>
    <x v="27"/>
  </r>
  <r>
    <s v="Before"/>
    <x v="1"/>
    <s v="80%2+20%8"/>
    <n v="2"/>
    <n v="3.2"/>
    <x v="2"/>
    <x v="38"/>
    <x v="322"/>
  </r>
  <r>
    <s v="Before"/>
    <x v="1"/>
    <s v="80%2+20%8"/>
    <n v="2"/>
    <n v="3.2"/>
    <x v="2"/>
    <x v="39"/>
    <x v="12"/>
  </r>
  <r>
    <s v="Before"/>
    <x v="1"/>
    <s v="80%2+20%8"/>
    <n v="2"/>
    <n v="3.2"/>
    <x v="2"/>
    <x v="40"/>
    <x v="323"/>
  </r>
  <r>
    <s v="Before"/>
    <x v="2"/>
    <s v="60%2+40%8"/>
    <n v="4"/>
    <n v="4.4000000000000004"/>
    <x v="2"/>
    <x v="0"/>
    <x v="26"/>
  </r>
  <r>
    <s v="Before"/>
    <x v="2"/>
    <s v="60%2+40%8"/>
    <n v="4"/>
    <n v="4.4000000000000004"/>
    <x v="2"/>
    <x v="1"/>
    <x v="307"/>
  </r>
  <r>
    <s v="Before"/>
    <x v="2"/>
    <s v="60%2+40%8"/>
    <n v="4"/>
    <n v="4.4000000000000004"/>
    <x v="2"/>
    <x v="2"/>
    <x v="2"/>
  </r>
  <r>
    <s v="Before"/>
    <x v="2"/>
    <s v="60%2+40%8"/>
    <n v="4"/>
    <n v="4.4000000000000004"/>
    <x v="2"/>
    <x v="3"/>
    <x v="324"/>
  </r>
  <r>
    <s v="Before"/>
    <x v="2"/>
    <s v="60%2+40%8"/>
    <n v="4"/>
    <n v="4.4000000000000004"/>
    <x v="2"/>
    <x v="4"/>
    <x v="183"/>
  </r>
  <r>
    <s v="Before"/>
    <x v="2"/>
    <s v="60%2+40%8"/>
    <n v="4"/>
    <n v="4.4000000000000004"/>
    <x v="2"/>
    <x v="5"/>
    <x v="21"/>
  </r>
  <r>
    <s v="Before"/>
    <x v="2"/>
    <s v="60%2+40%8"/>
    <n v="4"/>
    <n v="4.4000000000000004"/>
    <x v="2"/>
    <x v="6"/>
    <x v="131"/>
  </r>
  <r>
    <s v="Before"/>
    <x v="2"/>
    <s v="60%2+40%8"/>
    <n v="4"/>
    <n v="4.4000000000000004"/>
    <x v="2"/>
    <x v="7"/>
    <x v="325"/>
  </r>
  <r>
    <s v="Before"/>
    <x v="2"/>
    <s v="60%2+40%8"/>
    <n v="4"/>
    <n v="4.4000000000000004"/>
    <x v="2"/>
    <x v="8"/>
    <x v="73"/>
  </r>
  <r>
    <s v="Before"/>
    <x v="2"/>
    <s v="60%2+40%8"/>
    <n v="4"/>
    <n v="4.4000000000000004"/>
    <x v="2"/>
    <x v="9"/>
    <x v="8"/>
  </r>
  <r>
    <s v="Before"/>
    <x v="2"/>
    <s v="60%2+40%8"/>
    <n v="4"/>
    <n v="4.4000000000000004"/>
    <x v="2"/>
    <x v="10"/>
    <x v="326"/>
  </r>
  <r>
    <s v="Before"/>
    <x v="2"/>
    <s v="60%2+40%8"/>
    <n v="4"/>
    <n v="4.4000000000000004"/>
    <x v="2"/>
    <x v="11"/>
    <x v="21"/>
  </r>
  <r>
    <s v="Before"/>
    <x v="2"/>
    <s v="60%2+40%8"/>
    <n v="4"/>
    <n v="4.4000000000000004"/>
    <x v="2"/>
    <x v="12"/>
    <x v="234"/>
  </r>
  <r>
    <s v="Before"/>
    <x v="2"/>
    <s v="60%2+40%8"/>
    <n v="4"/>
    <n v="4.4000000000000004"/>
    <x v="2"/>
    <x v="13"/>
    <x v="225"/>
  </r>
  <r>
    <s v="Before"/>
    <x v="2"/>
    <s v="60%2+40%8"/>
    <n v="4"/>
    <n v="4.4000000000000004"/>
    <x v="2"/>
    <x v="14"/>
    <x v="121"/>
  </r>
  <r>
    <s v="Before"/>
    <x v="2"/>
    <s v="60%2+40%8"/>
    <n v="4"/>
    <n v="4.4000000000000004"/>
    <x v="2"/>
    <x v="15"/>
    <x v="55"/>
  </r>
  <r>
    <s v="Before"/>
    <x v="2"/>
    <s v="60%2+40%8"/>
    <n v="4"/>
    <n v="4.4000000000000004"/>
    <x v="2"/>
    <x v="16"/>
    <x v="327"/>
  </r>
  <r>
    <s v="Before"/>
    <x v="2"/>
    <s v="60%2+40%8"/>
    <n v="4"/>
    <n v="4.4000000000000004"/>
    <x v="2"/>
    <x v="17"/>
    <x v="103"/>
  </r>
  <r>
    <s v="Before"/>
    <x v="2"/>
    <s v="60%2+40%8"/>
    <n v="4"/>
    <n v="4.4000000000000004"/>
    <x v="2"/>
    <x v="18"/>
    <x v="328"/>
  </r>
  <r>
    <s v="Before"/>
    <x v="2"/>
    <s v="60%2+40%8"/>
    <n v="4"/>
    <n v="4.4000000000000004"/>
    <x v="2"/>
    <x v="19"/>
    <x v="75"/>
  </r>
  <r>
    <s v="Before"/>
    <x v="2"/>
    <s v="60%2+40%8"/>
    <n v="4"/>
    <n v="4.4000000000000004"/>
    <x v="2"/>
    <x v="20"/>
    <x v="241"/>
  </r>
  <r>
    <s v="Before"/>
    <x v="2"/>
    <s v="60%2+40%8"/>
    <n v="4"/>
    <n v="4.4000000000000004"/>
    <x v="2"/>
    <x v="21"/>
    <x v="78"/>
  </r>
  <r>
    <s v="Before"/>
    <x v="2"/>
    <s v="60%2+40%8"/>
    <n v="4"/>
    <n v="4.4000000000000004"/>
    <x v="2"/>
    <x v="22"/>
    <x v="329"/>
  </r>
  <r>
    <s v="Before"/>
    <x v="2"/>
    <s v="60%2+40%8"/>
    <n v="4"/>
    <n v="4.4000000000000004"/>
    <x v="2"/>
    <x v="23"/>
    <x v="330"/>
  </r>
  <r>
    <s v="Before"/>
    <x v="2"/>
    <s v="60%2+40%8"/>
    <n v="4"/>
    <n v="4.4000000000000004"/>
    <x v="2"/>
    <x v="24"/>
    <x v="45"/>
  </r>
  <r>
    <s v="Before"/>
    <x v="2"/>
    <s v="60%2+40%8"/>
    <n v="4"/>
    <n v="4.4000000000000004"/>
    <x v="2"/>
    <x v="25"/>
    <x v="331"/>
  </r>
  <r>
    <s v="Before"/>
    <x v="2"/>
    <s v="60%2+40%8"/>
    <n v="4"/>
    <n v="4.4000000000000004"/>
    <x v="2"/>
    <x v="26"/>
    <x v="14"/>
  </r>
  <r>
    <s v="Before"/>
    <x v="2"/>
    <s v="60%2+40%8"/>
    <n v="4"/>
    <n v="4.4000000000000004"/>
    <x v="2"/>
    <x v="27"/>
    <x v="332"/>
  </r>
  <r>
    <s v="Before"/>
    <x v="2"/>
    <s v="60%2+40%8"/>
    <n v="4"/>
    <n v="4.4000000000000004"/>
    <x v="2"/>
    <x v="28"/>
    <x v="333"/>
  </r>
  <r>
    <s v="Before"/>
    <x v="2"/>
    <s v="60%2+40%8"/>
    <n v="4"/>
    <n v="4.4000000000000004"/>
    <x v="2"/>
    <x v="29"/>
    <x v="199"/>
  </r>
  <r>
    <s v="Before"/>
    <x v="2"/>
    <s v="60%2+40%8"/>
    <n v="4"/>
    <n v="4.4000000000000004"/>
    <x v="2"/>
    <x v="30"/>
    <x v="79"/>
  </r>
  <r>
    <s v="Before"/>
    <x v="2"/>
    <s v="60%2+40%8"/>
    <n v="4"/>
    <n v="4.4000000000000004"/>
    <x v="2"/>
    <x v="31"/>
    <x v="308"/>
  </r>
  <r>
    <s v="Before"/>
    <x v="2"/>
    <s v="60%2+40%8"/>
    <n v="4"/>
    <n v="4.4000000000000004"/>
    <x v="2"/>
    <x v="32"/>
    <x v="334"/>
  </r>
  <r>
    <s v="Before"/>
    <x v="2"/>
    <s v="60%2+40%8"/>
    <n v="4"/>
    <n v="4.4000000000000004"/>
    <x v="2"/>
    <x v="33"/>
    <x v="142"/>
  </r>
  <r>
    <s v="Before"/>
    <x v="2"/>
    <s v="60%2+40%8"/>
    <n v="4"/>
    <n v="4.4000000000000004"/>
    <x v="2"/>
    <x v="34"/>
    <x v="113"/>
  </r>
  <r>
    <s v="Before"/>
    <x v="2"/>
    <s v="60%2+40%8"/>
    <n v="4"/>
    <n v="4.4000000000000004"/>
    <x v="2"/>
    <x v="35"/>
    <x v="335"/>
  </r>
  <r>
    <s v="Before"/>
    <x v="2"/>
    <s v="60%2+40%8"/>
    <n v="4"/>
    <n v="4.4000000000000004"/>
    <x v="2"/>
    <x v="36"/>
    <x v="282"/>
  </r>
  <r>
    <s v="Before"/>
    <x v="2"/>
    <s v="60%2+40%8"/>
    <n v="4"/>
    <n v="4.4000000000000004"/>
    <x v="2"/>
    <x v="37"/>
    <x v="228"/>
  </r>
  <r>
    <s v="Before"/>
    <x v="2"/>
    <s v="60%2+40%8"/>
    <n v="4"/>
    <n v="4.4000000000000004"/>
    <x v="2"/>
    <x v="38"/>
    <x v="76"/>
  </r>
  <r>
    <s v="Before"/>
    <x v="2"/>
    <s v="60%2+40%8"/>
    <n v="4"/>
    <n v="4.4000000000000004"/>
    <x v="2"/>
    <x v="39"/>
    <x v="90"/>
  </r>
  <r>
    <s v="Before"/>
    <x v="2"/>
    <s v="60%2+40%8"/>
    <n v="4"/>
    <n v="4.4000000000000004"/>
    <x v="2"/>
    <x v="40"/>
    <x v="220"/>
  </r>
  <r>
    <s v="Before"/>
    <x v="3"/>
    <s v="50%2+50%8"/>
    <n v="5"/>
    <n v="5"/>
    <x v="2"/>
    <x v="0"/>
    <x v="38"/>
  </r>
  <r>
    <s v="Before"/>
    <x v="3"/>
    <s v="50%2+50%8"/>
    <n v="5"/>
    <n v="5"/>
    <x v="2"/>
    <x v="1"/>
    <x v="210"/>
  </r>
  <r>
    <s v="Before"/>
    <x v="3"/>
    <s v="50%2+50%8"/>
    <n v="5"/>
    <n v="5"/>
    <x v="2"/>
    <x v="2"/>
    <x v="199"/>
  </r>
  <r>
    <s v="Before"/>
    <x v="3"/>
    <s v="50%2+50%8"/>
    <n v="5"/>
    <n v="5"/>
    <x v="2"/>
    <x v="3"/>
    <x v="336"/>
  </r>
  <r>
    <s v="Before"/>
    <x v="3"/>
    <s v="50%2+50%8"/>
    <n v="5"/>
    <n v="5"/>
    <x v="2"/>
    <x v="4"/>
    <x v="38"/>
  </r>
  <r>
    <s v="Before"/>
    <x v="3"/>
    <s v="50%2+50%8"/>
    <n v="5"/>
    <n v="5"/>
    <x v="2"/>
    <x v="5"/>
    <x v="331"/>
  </r>
  <r>
    <s v="Before"/>
    <x v="3"/>
    <s v="50%2+50%8"/>
    <n v="5"/>
    <n v="5"/>
    <x v="2"/>
    <x v="6"/>
    <x v="135"/>
  </r>
  <r>
    <s v="Before"/>
    <x v="3"/>
    <s v="50%2+50%8"/>
    <n v="5"/>
    <n v="5"/>
    <x v="2"/>
    <x v="7"/>
    <x v="107"/>
  </r>
  <r>
    <s v="Before"/>
    <x v="3"/>
    <s v="50%2+50%8"/>
    <n v="5"/>
    <n v="5"/>
    <x v="2"/>
    <x v="8"/>
    <x v="337"/>
  </r>
  <r>
    <s v="Before"/>
    <x v="3"/>
    <s v="50%2+50%8"/>
    <n v="5"/>
    <n v="5"/>
    <x v="2"/>
    <x v="9"/>
    <x v="8"/>
  </r>
  <r>
    <s v="Before"/>
    <x v="3"/>
    <s v="50%2+50%8"/>
    <n v="5"/>
    <n v="5"/>
    <x v="2"/>
    <x v="10"/>
    <x v="338"/>
  </r>
  <r>
    <s v="Before"/>
    <x v="3"/>
    <s v="50%2+50%8"/>
    <n v="5"/>
    <n v="5"/>
    <x v="2"/>
    <x v="11"/>
    <x v="86"/>
  </r>
  <r>
    <s v="Before"/>
    <x v="3"/>
    <s v="50%2+50%8"/>
    <n v="5"/>
    <n v="5"/>
    <x v="2"/>
    <x v="12"/>
    <x v="339"/>
  </r>
  <r>
    <s v="Before"/>
    <x v="3"/>
    <s v="50%2+50%8"/>
    <n v="5"/>
    <n v="5"/>
    <x v="2"/>
    <x v="13"/>
    <x v="96"/>
  </r>
  <r>
    <s v="Before"/>
    <x v="3"/>
    <s v="50%2+50%8"/>
    <n v="5"/>
    <n v="5"/>
    <x v="2"/>
    <x v="14"/>
    <x v="26"/>
  </r>
  <r>
    <s v="Before"/>
    <x v="3"/>
    <s v="50%2+50%8"/>
    <n v="5"/>
    <n v="5"/>
    <x v="2"/>
    <x v="15"/>
    <x v="131"/>
  </r>
  <r>
    <s v="Before"/>
    <x v="3"/>
    <s v="50%2+50%8"/>
    <n v="5"/>
    <n v="5"/>
    <x v="2"/>
    <x v="16"/>
    <x v="134"/>
  </r>
  <r>
    <s v="Before"/>
    <x v="3"/>
    <s v="50%2+50%8"/>
    <n v="5"/>
    <n v="5"/>
    <x v="2"/>
    <x v="17"/>
    <x v="38"/>
  </r>
  <r>
    <s v="Before"/>
    <x v="3"/>
    <s v="50%2+50%8"/>
    <n v="5"/>
    <n v="5"/>
    <x v="2"/>
    <x v="18"/>
    <x v="86"/>
  </r>
  <r>
    <s v="Before"/>
    <x v="3"/>
    <s v="50%2+50%8"/>
    <n v="5"/>
    <n v="5"/>
    <x v="2"/>
    <x v="19"/>
    <x v="234"/>
  </r>
  <r>
    <s v="Before"/>
    <x v="3"/>
    <s v="50%2+50%8"/>
    <n v="5"/>
    <n v="5"/>
    <x v="2"/>
    <x v="20"/>
    <x v="340"/>
  </r>
  <r>
    <s v="Before"/>
    <x v="3"/>
    <s v="50%2+50%8"/>
    <n v="5"/>
    <n v="5"/>
    <x v="2"/>
    <x v="21"/>
    <x v="38"/>
  </r>
  <r>
    <s v="Before"/>
    <x v="3"/>
    <s v="50%2+50%8"/>
    <n v="5"/>
    <n v="5"/>
    <x v="2"/>
    <x v="22"/>
    <x v="341"/>
  </r>
  <r>
    <s v="Before"/>
    <x v="3"/>
    <s v="50%2+50%8"/>
    <n v="5"/>
    <n v="5"/>
    <x v="2"/>
    <x v="23"/>
    <x v="342"/>
  </r>
  <r>
    <s v="Before"/>
    <x v="3"/>
    <s v="50%2+50%8"/>
    <n v="5"/>
    <n v="5"/>
    <x v="2"/>
    <x v="24"/>
    <x v="343"/>
  </r>
  <r>
    <s v="Before"/>
    <x v="3"/>
    <s v="50%2+50%8"/>
    <n v="5"/>
    <n v="5"/>
    <x v="2"/>
    <x v="25"/>
    <x v="66"/>
  </r>
  <r>
    <s v="Before"/>
    <x v="3"/>
    <s v="50%2+50%8"/>
    <n v="5"/>
    <n v="5"/>
    <x v="2"/>
    <x v="26"/>
    <x v="344"/>
  </r>
  <r>
    <s v="Before"/>
    <x v="3"/>
    <s v="50%2+50%8"/>
    <n v="5"/>
    <n v="5"/>
    <x v="2"/>
    <x v="27"/>
    <x v="323"/>
  </r>
  <r>
    <s v="Before"/>
    <x v="3"/>
    <s v="50%2+50%8"/>
    <n v="5"/>
    <n v="5"/>
    <x v="2"/>
    <x v="28"/>
    <x v="345"/>
  </r>
  <r>
    <s v="Before"/>
    <x v="3"/>
    <s v="50%2+50%8"/>
    <n v="5"/>
    <n v="5"/>
    <x v="2"/>
    <x v="29"/>
    <x v="100"/>
  </r>
  <r>
    <s v="Before"/>
    <x v="3"/>
    <s v="50%2+50%8"/>
    <n v="5"/>
    <n v="5"/>
    <x v="2"/>
    <x v="30"/>
    <x v="345"/>
  </r>
  <r>
    <s v="Before"/>
    <x v="3"/>
    <s v="50%2+50%8"/>
    <n v="5"/>
    <n v="5"/>
    <x v="2"/>
    <x v="31"/>
    <x v="142"/>
  </r>
  <r>
    <s v="Before"/>
    <x v="3"/>
    <s v="50%2+50%8"/>
    <n v="5"/>
    <n v="5"/>
    <x v="2"/>
    <x v="32"/>
    <x v="94"/>
  </r>
  <r>
    <s v="Before"/>
    <x v="3"/>
    <s v="50%2+50%8"/>
    <n v="5"/>
    <n v="5"/>
    <x v="2"/>
    <x v="33"/>
    <x v="38"/>
  </r>
  <r>
    <s v="Before"/>
    <x v="3"/>
    <s v="50%2+50%8"/>
    <n v="5"/>
    <n v="5"/>
    <x v="2"/>
    <x v="34"/>
    <x v="232"/>
  </r>
  <r>
    <s v="Before"/>
    <x v="3"/>
    <s v="50%2+50%8"/>
    <n v="5"/>
    <n v="5"/>
    <x v="2"/>
    <x v="35"/>
    <x v="346"/>
  </r>
  <r>
    <s v="Before"/>
    <x v="3"/>
    <s v="50%2+50%8"/>
    <n v="5"/>
    <n v="5"/>
    <x v="2"/>
    <x v="36"/>
    <x v="237"/>
  </r>
  <r>
    <s v="Before"/>
    <x v="3"/>
    <s v="50%2+50%8"/>
    <n v="5"/>
    <n v="5"/>
    <x v="2"/>
    <x v="37"/>
    <x v="119"/>
  </r>
  <r>
    <s v="Before"/>
    <x v="3"/>
    <s v="50%2+50%8"/>
    <n v="5"/>
    <n v="5"/>
    <x v="2"/>
    <x v="38"/>
    <x v="244"/>
  </r>
  <r>
    <s v="Before"/>
    <x v="3"/>
    <s v="50%2+50%8"/>
    <n v="5"/>
    <n v="5"/>
    <x v="2"/>
    <x v="39"/>
    <x v="38"/>
  </r>
  <r>
    <s v="Before"/>
    <x v="3"/>
    <s v="50%2+50%8"/>
    <n v="5"/>
    <n v="5"/>
    <x v="2"/>
    <x v="40"/>
    <x v="23"/>
  </r>
  <r>
    <s v="Before"/>
    <x v="4"/>
    <s v="40%2+60%8"/>
    <n v="6"/>
    <n v="5.6"/>
    <x v="2"/>
    <x v="0"/>
    <x v="87"/>
  </r>
  <r>
    <s v="Before"/>
    <x v="4"/>
    <s v="40%2+60%8"/>
    <n v="6"/>
    <n v="5.6"/>
    <x v="2"/>
    <x v="1"/>
    <x v="40"/>
  </r>
  <r>
    <s v="Before"/>
    <x v="4"/>
    <s v="40%2+60%8"/>
    <n v="6"/>
    <n v="5.6"/>
    <x v="2"/>
    <x v="2"/>
    <x v="38"/>
  </r>
  <r>
    <s v="Before"/>
    <x v="4"/>
    <s v="40%2+60%8"/>
    <n v="6"/>
    <n v="5.6"/>
    <x v="2"/>
    <x v="3"/>
    <x v="347"/>
  </r>
  <r>
    <s v="Before"/>
    <x v="4"/>
    <s v="40%2+60%8"/>
    <n v="6"/>
    <n v="5.6"/>
    <x v="2"/>
    <x v="4"/>
    <x v="113"/>
  </r>
  <r>
    <s v="Before"/>
    <x v="4"/>
    <s v="40%2+60%8"/>
    <n v="6"/>
    <n v="5.6"/>
    <x v="2"/>
    <x v="5"/>
    <x v="41"/>
  </r>
  <r>
    <s v="Before"/>
    <x v="4"/>
    <s v="40%2+60%8"/>
    <n v="6"/>
    <n v="5.6"/>
    <x v="2"/>
    <x v="6"/>
    <x v="333"/>
  </r>
  <r>
    <s v="Before"/>
    <x v="4"/>
    <s v="40%2+60%8"/>
    <n v="6"/>
    <n v="5.6"/>
    <x v="2"/>
    <x v="7"/>
    <x v="348"/>
  </r>
  <r>
    <s v="Before"/>
    <x v="4"/>
    <s v="40%2+60%8"/>
    <n v="6"/>
    <n v="5.6"/>
    <x v="2"/>
    <x v="8"/>
    <x v="349"/>
  </r>
  <r>
    <s v="Before"/>
    <x v="4"/>
    <s v="40%2+60%8"/>
    <n v="6"/>
    <n v="5.6"/>
    <x v="2"/>
    <x v="9"/>
    <x v="8"/>
  </r>
  <r>
    <s v="Before"/>
    <x v="4"/>
    <s v="40%2+60%8"/>
    <n v="6"/>
    <n v="5.6"/>
    <x v="2"/>
    <x v="10"/>
    <x v="350"/>
  </r>
  <r>
    <s v="Before"/>
    <x v="4"/>
    <s v="40%2+60%8"/>
    <n v="6"/>
    <n v="5.6"/>
    <x v="2"/>
    <x v="11"/>
    <x v="351"/>
  </r>
  <r>
    <s v="Before"/>
    <x v="4"/>
    <s v="40%2+60%8"/>
    <n v="6"/>
    <n v="5.6"/>
    <x v="2"/>
    <x v="12"/>
    <x v="205"/>
  </r>
  <r>
    <s v="Before"/>
    <x v="4"/>
    <s v="40%2+60%8"/>
    <n v="6"/>
    <n v="5.6"/>
    <x v="2"/>
    <x v="13"/>
    <x v="352"/>
  </r>
  <r>
    <s v="Before"/>
    <x v="4"/>
    <s v="40%2+60%8"/>
    <n v="6"/>
    <n v="5.6"/>
    <x v="2"/>
    <x v="14"/>
    <x v="94"/>
  </r>
  <r>
    <s v="Before"/>
    <x v="4"/>
    <s v="40%2+60%8"/>
    <n v="6"/>
    <n v="5.6"/>
    <x v="2"/>
    <x v="15"/>
    <x v="126"/>
  </r>
  <r>
    <s v="Before"/>
    <x v="4"/>
    <s v="40%2+60%8"/>
    <n v="6"/>
    <n v="5.6"/>
    <x v="2"/>
    <x v="16"/>
    <x v="120"/>
  </r>
  <r>
    <s v="Before"/>
    <x v="4"/>
    <s v="40%2+60%8"/>
    <n v="6"/>
    <n v="5.6"/>
    <x v="2"/>
    <x v="17"/>
    <x v="38"/>
  </r>
  <r>
    <s v="Before"/>
    <x v="4"/>
    <s v="40%2+60%8"/>
    <n v="6"/>
    <n v="5.6"/>
    <x v="2"/>
    <x v="18"/>
    <x v="308"/>
  </r>
  <r>
    <s v="Before"/>
    <x v="4"/>
    <s v="40%2+60%8"/>
    <n v="6"/>
    <n v="5.6"/>
    <x v="2"/>
    <x v="19"/>
    <x v="46"/>
  </r>
  <r>
    <s v="Before"/>
    <x v="4"/>
    <s v="40%2+60%8"/>
    <n v="6"/>
    <n v="5.6"/>
    <x v="2"/>
    <x v="20"/>
    <x v="353"/>
  </r>
  <r>
    <s v="Before"/>
    <x v="4"/>
    <s v="40%2+60%8"/>
    <n v="6"/>
    <n v="5.6"/>
    <x v="2"/>
    <x v="21"/>
    <x v="124"/>
  </r>
  <r>
    <s v="Before"/>
    <x v="4"/>
    <s v="40%2+60%8"/>
    <n v="6"/>
    <n v="5.6"/>
    <x v="2"/>
    <x v="22"/>
    <x v="354"/>
  </r>
  <r>
    <s v="Before"/>
    <x v="4"/>
    <s v="40%2+60%8"/>
    <n v="6"/>
    <n v="5.6"/>
    <x v="2"/>
    <x v="23"/>
    <x v="233"/>
  </r>
  <r>
    <s v="Before"/>
    <x v="4"/>
    <s v="40%2+60%8"/>
    <n v="6"/>
    <n v="5.6"/>
    <x v="2"/>
    <x v="24"/>
    <x v="127"/>
  </r>
  <r>
    <s v="Before"/>
    <x v="4"/>
    <s v="40%2+60%8"/>
    <n v="6"/>
    <n v="5.6"/>
    <x v="2"/>
    <x v="25"/>
    <x v="184"/>
  </r>
  <r>
    <s v="Before"/>
    <x v="4"/>
    <s v="40%2+60%8"/>
    <n v="6"/>
    <n v="5.6"/>
    <x v="2"/>
    <x v="26"/>
    <x v="87"/>
  </r>
  <r>
    <s v="Before"/>
    <x v="4"/>
    <s v="40%2+60%8"/>
    <n v="6"/>
    <n v="5.6"/>
    <x v="2"/>
    <x v="27"/>
    <x v="355"/>
  </r>
  <r>
    <s v="Before"/>
    <x v="4"/>
    <s v="40%2+60%8"/>
    <n v="6"/>
    <n v="5.6"/>
    <x v="2"/>
    <x v="28"/>
    <x v="356"/>
  </r>
  <r>
    <s v="Before"/>
    <x v="4"/>
    <s v="40%2+60%8"/>
    <n v="6"/>
    <n v="5.6"/>
    <x v="2"/>
    <x v="29"/>
    <x v="139"/>
  </r>
  <r>
    <s v="Before"/>
    <x v="4"/>
    <s v="40%2+60%8"/>
    <n v="6"/>
    <n v="5.6"/>
    <x v="2"/>
    <x v="30"/>
    <x v="357"/>
  </r>
  <r>
    <s v="Before"/>
    <x v="4"/>
    <s v="40%2+60%8"/>
    <n v="6"/>
    <n v="5.6"/>
    <x v="2"/>
    <x v="31"/>
    <x v="358"/>
  </r>
  <r>
    <s v="Before"/>
    <x v="4"/>
    <s v="40%2+60%8"/>
    <n v="6"/>
    <n v="5.6"/>
    <x v="2"/>
    <x v="32"/>
    <x v="359"/>
  </r>
  <r>
    <s v="Before"/>
    <x v="4"/>
    <s v="40%2+60%8"/>
    <n v="6"/>
    <n v="5.6"/>
    <x v="2"/>
    <x v="33"/>
    <x v="360"/>
  </r>
  <r>
    <s v="Before"/>
    <x v="4"/>
    <s v="40%2+60%8"/>
    <n v="6"/>
    <n v="5.6"/>
    <x v="2"/>
    <x v="34"/>
    <x v="361"/>
  </r>
  <r>
    <s v="Before"/>
    <x v="4"/>
    <s v="40%2+60%8"/>
    <n v="6"/>
    <n v="5.6"/>
    <x v="2"/>
    <x v="35"/>
    <x v="46"/>
  </r>
  <r>
    <s v="Before"/>
    <x v="4"/>
    <s v="40%2+60%8"/>
    <n v="6"/>
    <n v="5.6"/>
    <x v="2"/>
    <x v="36"/>
    <x v="208"/>
  </r>
  <r>
    <s v="Before"/>
    <x v="4"/>
    <s v="40%2+60%8"/>
    <n v="6"/>
    <n v="5.6"/>
    <x v="2"/>
    <x v="37"/>
    <x v="362"/>
  </r>
  <r>
    <s v="Before"/>
    <x v="4"/>
    <s v="40%2+60%8"/>
    <n v="6"/>
    <n v="5.6"/>
    <x v="2"/>
    <x v="38"/>
    <x v="357"/>
  </r>
  <r>
    <s v="Before"/>
    <x v="4"/>
    <s v="40%2+60%8"/>
    <n v="6"/>
    <n v="5.6"/>
    <x v="2"/>
    <x v="39"/>
    <x v="363"/>
  </r>
  <r>
    <s v="Before"/>
    <x v="4"/>
    <s v="40%2+60%8"/>
    <n v="6"/>
    <n v="5.6"/>
    <x v="2"/>
    <x v="40"/>
    <x v="364"/>
  </r>
  <r>
    <s v="Before"/>
    <x v="5"/>
    <s v="20%2+80%8"/>
    <n v="8"/>
    <n v="6.8"/>
    <x v="2"/>
    <x v="0"/>
    <x v="141"/>
  </r>
  <r>
    <s v="Before"/>
    <x v="5"/>
    <s v="20%2+80%8"/>
    <n v="8"/>
    <n v="6.8"/>
    <x v="2"/>
    <x v="1"/>
    <x v="213"/>
  </r>
  <r>
    <s v="Before"/>
    <x v="5"/>
    <s v="20%2+80%8"/>
    <n v="8"/>
    <n v="6.8"/>
    <x v="2"/>
    <x v="2"/>
    <x v="38"/>
  </r>
  <r>
    <s v="Before"/>
    <x v="5"/>
    <s v="20%2+80%8"/>
    <n v="8"/>
    <n v="6.8"/>
    <x v="2"/>
    <x v="3"/>
    <x v="365"/>
  </r>
  <r>
    <s v="Before"/>
    <x v="5"/>
    <s v="20%2+80%8"/>
    <n v="8"/>
    <n v="6.8"/>
    <x v="2"/>
    <x v="4"/>
    <x v="366"/>
  </r>
  <r>
    <s v="Before"/>
    <x v="5"/>
    <s v="20%2+80%8"/>
    <n v="8"/>
    <n v="6.8"/>
    <x v="2"/>
    <x v="5"/>
    <x v="261"/>
  </r>
  <r>
    <s v="Before"/>
    <x v="5"/>
    <s v="20%2+80%8"/>
    <n v="8"/>
    <n v="6.8"/>
    <x v="2"/>
    <x v="6"/>
    <x v="218"/>
  </r>
  <r>
    <s v="Before"/>
    <x v="5"/>
    <s v="20%2+80%8"/>
    <n v="8"/>
    <n v="6.8"/>
    <x v="2"/>
    <x v="7"/>
    <x v="44"/>
  </r>
  <r>
    <s v="Before"/>
    <x v="5"/>
    <s v="20%2+80%8"/>
    <n v="8"/>
    <n v="6.8"/>
    <x v="2"/>
    <x v="8"/>
    <x v="113"/>
  </r>
  <r>
    <s v="Before"/>
    <x v="5"/>
    <s v="20%2+80%8"/>
    <n v="8"/>
    <n v="6.8"/>
    <x v="2"/>
    <x v="9"/>
    <x v="8"/>
  </r>
  <r>
    <s v="Before"/>
    <x v="5"/>
    <s v="20%2+80%8"/>
    <n v="8"/>
    <n v="6.8"/>
    <x v="2"/>
    <x v="10"/>
    <x v="367"/>
  </r>
  <r>
    <s v="Before"/>
    <x v="5"/>
    <s v="20%2+80%8"/>
    <n v="8"/>
    <n v="6.8"/>
    <x v="2"/>
    <x v="11"/>
    <x v="261"/>
  </r>
  <r>
    <s v="Before"/>
    <x v="5"/>
    <s v="20%2+80%8"/>
    <n v="8"/>
    <n v="6.8"/>
    <x v="2"/>
    <x v="12"/>
    <x v="228"/>
  </r>
  <r>
    <s v="Before"/>
    <x v="5"/>
    <s v="20%2+80%8"/>
    <n v="8"/>
    <n v="6.8"/>
    <x v="2"/>
    <x v="13"/>
    <x v="368"/>
  </r>
  <r>
    <s v="Before"/>
    <x v="5"/>
    <s v="20%2+80%8"/>
    <n v="8"/>
    <n v="6.8"/>
    <x v="2"/>
    <x v="14"/>
    <x v="38"/>
  </r>
  <r>
    <s v="Before"/>
    <x v="5"/>
    <s v="20%2+80%8"/>
    <n v="8"/>
    <n v="6.8"/>
    <x v="2"/>
    <x v="15"/>
    <x v="31"/>
  </r>
  <r>
    <s v="Before"/>
    <x v="5"/>
    <s v="20%2+80%8"/>
    <n v="8"/>
    <n v="6.8"/>
    <x v="2"/>
    <x v="16"/>
    <x v="369"/>
  </r>
  <r>
    <s v="Before"/>
    <x v="5"/>
    <s v="20%2+80%8"/>
    <n v="8"/>
    <n v="6.8"/>
    <x v="2"/>
    <x v="17"/>
    <x v="361"/>
  </r>
  <r>
    <s v="Before"/>
    <x v="5"/>
    <s v="20%2+80%8"/>
    <n v="8"/>
    <n v="6.8"/>
    <x v="2"/>
    <x v="18"/>
    <x v="224"/>
  </r>
  <r>
    <s v="Before"/>
    <x v="5"/>
    <s v="20%2+80%8"/>
    <n v="8"/>
    <n v="6.8"/>
    <x v="2"/>
    <x v="19"/>
    <x v="147"/>
  </r>
  <r>
    <s v="Before"/>
    <x v="5"/>
    <s v="20%2+80%8"/>
    <n v="8"/>
    <n v="6.8"/>
    <x v="2"/>
    <x v="20"/>
    <x v="370"/>
  </r>
  <r>
    <s v="Before"/>
    <x v="5"/>
    <s v="20%2+80%8"/>
    <n v="8"/>
    <n v="6.8"/>
    <x v="2"/>
    <x v="21"/>
    <x v="151"/>
  </r>
  <r>
    <s v="Before"/>
    <x v="5"/>
    <s v="20%2+80%8"/>
    <n v="8"/>
    <n v="6.8"/>
    <x v="2"/>
    <x v="22"/>
    <x v="371"/>
  </r>
  <r>
    <s v="Before"/>
    <x v="5"/>
    <s v="20%2+80%8"/>
    <n v="8"/>
    <n v="6.8"/>
    <x v="2"/>
    <x v="23"/>
    <x v="372"/>
  </r>
  <r>
    <s v="Before"/>
    <x v="5"/>
    <s v="20%2+80%8"/>
    <n v="8"/>
    <n v="6.8"/>
    <x v="2"/>
    <x v="24"/>
    <x v="373"/>
  </r>
  <r>
    <s v="Before"/>
    <x v="5"/>
    <s v="20%2+80%8"/>
    <n v="8"/>
    <n v="6.8"/>
    <x v="2"/>
    <x v="25"/>
    <x v="374"/>
  </r>
  <r>
    <s v="Before"/>
    <x v="5"/>
    <s v="20%2+80%8"/>
    <n v="8"/>
    <n v="6.8"/>
    <x v="2"/>
    <x v="26"/>
    <x v="141"/>
  </r>
  <r>
    <s v="Before"/>
    <x v="5"/>
    <s v="20%2+80%8"/>
    <n v="8"/>
    <n v="6.8"/>
    <x v="2"/>
    <x v="27"/>
    <x v="140"/>
  </r>
  <r>
    <s v="Before"/>
    <x v="5"/>
    <s v="20%2+80%8"/>
    <n v="8"/>
    <n v="6.8"/>
    <x v="2"/>
    <x v="28"/>
    <x v="278"/>
  </r>
  <r>
    <s v="Before"/>
    <x v="5"/>
    <s v="20%2+80%8"/>
    <n v="8"/>
    <n v="6.8"/>
    <x v="2"/>
    <x v="29"/>
    <x v="375"/>
  </r>
  <r>
    <s v="Before"/>
    <x v="5"/>
    <s v="20%2+80%8"/>
    <n v="8"/>
    <n v="6.8"/>
    <x v="2"/>
    <x v="30"/>
    <x v="376"/>
  </r>
  <r>
    <s v="Before"/>
    <x v="5"/>
    <s v="20%2+80%8"/>
    <n v="8"/>
    <n v="6.8"/>
    <x v="2"/>
    <x v="31"/>
    <x v="377"/>
  </r>
  <r>
    <s v="Before"/>
    <x v="5"/>
    <s v="20%2+80%8"/>
    <n v="8"/>
    <n v="6.8"/>
    <x v="2"/>
    <x v="32"/>
    <x v="271"/>
  </r>
  <r>
    <s v="Before"/>
    <x v="5"/>
    <s v="20%2+80%8"/>
    <n v="8"/>
    <n v="6.8"/>
    <x v="2"/>
    <x v="33"/>
    <x v="378"/>
  </r>
  <r>
    <s v="Before"/>
    <x v="5"/>
    <s v="20%2+80%8"/>
    <n v="8"/>
    <n v="6.8"/>
    <x v="2"/>
    <x v="34"/>
    <x v="372"/>
  </r>
  <r>
    <s v="Before"/>
    <x v="5"/>
    <s v="20%2+80%8"/>
    <n v="8"/>
    <n v="6.8"/>
    <x v="2"/>
    <x v="35"/>
    <x v="39"/>
  </r>
  <r>
    <s v="Before"/>
    <x v="5"/>
    <s v="20%2+80%8"/>
    <n v="8"/>
    <n v="6.8"/>
    <x v="2"/>
    <x v="36"/>
    <x v="379"/>
  </r>
  <r>
    <s v="Before"/>
    <x v="5"/>
    <s v="20%2+80%8"/>
    <n v="8"/>
    <n v="6.8"/>
    <x v="2"/>
    <x v="37"/>
    <x v="380"/>
  </r>
  <r>
    <s v="Before"/>
    <x v="5"/>
    <s v="20%2+80%8"/>
    <n v="8"/>
    <n v="6.8"/>
    <x v="2"/>
    <x v="38"/>
    <x v="181"/>
  </r>
  <r>
    <s v="Before"/>
    <x v="5"/>
    <s v="20%2+80%8"/>
    <n v="8"/>
    <n v="6.8"/>
    <x v="2"/>
    <x v="39"/>
    <x v="381"/>
  </r>
  <r>
    <s v="Before"/>
    <x v="5"/>
    <s v="20%2+80%8"/>
    <n v="8"/>
    <n v="6.8"/>
    <x v="2"/>
    <x v="40"/>
    <x v="2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5D6A3F-3B0E-40A1-98AC-EE692A1EA93C}" name="数据透视表4" cacheId="28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1">
  <location ref="A1:B27" firstHeaderRow="1" firstDataRow="1" firstDataCol="1"/>
  <pivotFields count="8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4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x="38"/>
        <item h="1" x="39"/>
        <item h="1" x="40"/>
        <item t="default"/>
      </items>
    </pivotField>
    <pivotField dataField="1" showAll="0">
      <items count="383">
        <item x="338"/>
        <item x="9"/>
        <item x="144"/>
        <item x="115"/>
        <item x="350"/>
        <item x="367"/>
        <item x="326"/>
        <item x="173"/>
        <item x="226"/>
        <item x="71"/>
        <item x="249"/>
        <item x="283"/>
        <item x="54"/>
        <item x="82"/>
        <item x="101"/>
        <item x="201"/>
        <item x="265"/>
        <item x="24"/>
        <item x="319"/>
        <item x="129"/>
        <item x="65"/>
        <item x="332"/>
        <item x="220"/>
        <item x="323"/>
        <item x="33"/>
        <item x="35"/>
        <item x="364"/>
        <item x="30"/>
        <item x="10"/>
        <item x="355"/>
        <item x="91"/>
        <item x="116"/>
        <item x="140"/>
        <item x="22"/>
        <item x="145"/>
        <item x="108"/>
        <item x="23"/>
        <item x="156"/>
        <item x="16"/>
        <item x="307"/>
        <item x="313"/>
        <item x="322"/>
        <item x="1"/>
        <item x="0"/>
        <item x="235"/>
        <item x="36"/>
        <item x="72"/>
        <item x="112"/>
        <item x="63"/>
        <item x="62"/>
        <item x="27"/>
        <item x="7"/>
        <item x="19"/>
        <item x="43"/>
        <item x="13"/>
        <item x="53"/>
        <item x="211"/>
        <item x="221"/>
        <item x="210"/>
        <item x="42"/>
        <item x="110"/>
        <item x="47"/>
        <item x="194"/>
        <item x="331"/>
        <item x="21"/>
        <item x="66"/>
        <item x="351"/>
        <item x="81"/>
        <item x="316"/>
        <item x="202"/>
        <item x="57"/>
        <item x="52"/>
        <item x="122"/>
        <item x="195"/>
        <item x="29"/>
        <item x="41"/>
        <item x="302"/>
        <item x="261"/>
        <item x="250"/>
        <item x="67"/>
        <item x="209"/>
        <item x="75"/>
        <item x="73"/>
        <item x="315"/>
        <item x="18"/>
        <item x="12"/>
        <item x="5"/>
        <item x="59"/>
        <item x="312"/>
        <item x="14"/>
        <item x="3"/>
        <item x="137"/>
        <item x="45"/>
        <item x="86"/>
        <item x="58"/>
        <item x="216"/>
        <item x="6"/>
        <item x="111"/>
        <item x="64"/>
        <item x="95"/>
        <item x="349"/>
        <item x="50"/>
        <item x="234"/>
        <item x="328"/>
        <item x="105"/>
        <item x="40"/>
        <item x="335"/>
        <item x="327"/>
        <item x="25"/>
        <item x="70"/>
        <item x="84"/>
        <item x="198"/>
        <item x="117"/>
        <item x="88"/>
        <item x="56"/>
        <item x="170"/>
        <item x="28"/>
        <item x="346"/>
        <item x="325"/>
        <item x="154"/>
        <item x="46"/>
        <item x="215"/>
        <item x="184"/>
        <item x="318"/>
        <item x="337"/>
        <item x="334"/>
        <item x="127"/>
        <item x="128"/>
        <item x="121"/>
        <item x="147"/>
        <item x="69"/>
        <item x="343"/>
        <item x="308"/>
        <item x="55"/>
        <item x="300"/>
        <item x="339"/>
        <item x="365"/>
        <item x="324"/>
        <item x="205"/>
        <item x="214"/>
        <item x="213"/>
        <item x="374"/>
        <item x="89"/>
        <item x="97"/>
        <item x="90"/>
        <item x="49"/>
        <item x="280"/>
        <item x="207"/>
        <item x="347"/>
        <item x="227"/>
        <item x="37"/>
        <item x="26"/>
        <item x="238"/>
        <item x="336"/>
        <item x="155"/>
        <item x="79"/>
        <item x="20"/>
        <item x="273"/>
        <item x="94"/>
        <item x="204"/>
        <item x="15"/>
        <item x="329"/>
        <item x="76"/>
        <item x="314"/>
        <item x="119"/>
        <item x="320"/>
        <item x="103"/>
        <item x="142"/>
        <item x="268"/>
        <item x="228"/>
        <item x="39"/>
        <item x="251"/>
        <item x="83"/>
        <item x="34"/>
        <item x="98"/>
        <item x="243"/>
        <item x="51"/>
        <item x="269"/>
        <item x="290"/>
        <item x="231"/>
        <item x="373"/>
        <item x="78"/>
        <item x="341"/>
        <item x="266"/>
        <item x="229"/>
        <item x="68"/>
        <item x="125"/>
        <item x="80"/>
        <item x="199"/>
        <item x="306"/>
        <item x="130"/>
        <item x="359"/>
        <item x="4"/>
        <item x="131"/>
        <item x="240"/>
        <item x="85"/>
        <item x="99"/>
        <item x="60"/>
        <item x="120"/>
        <item x="239"/>
        <item x="219"/>
        <item x="330"/>
        <item x="93"/>
        <item x="107"/>
        <item x="311"/>
        <item x="183"/>
        <item x="113"/>
        <item x="132"/>
        <item x="345"/>
        <item x="2"/>
        <item x="38"/>
        <item x="92"/>
        <item x="134"/>
        <item x="104"/>
        <item x="285"/>
        <item x="333"/>
        <item x="135"/>
        <item x="149"/>
        <item x="281"/>
        <item x="354"/>
        <item x="236"/>
        <item x="218"/>
        <item x="289"/>
        <item x="224"/>
        <item x="126"/>
        <item x="356"/>
        <item x="212"/>
        <item x="362"/>
        <item x="102"/>
        <item x="245"/>
        <item x="305"/>
        <item x="360"/>
        <item x="254"/>
        <item x="31"/>
        <item x="244"/>
        <item x="247"/>
        <item x="133"/>
        <item x="344"/>
        <item x="253"/>
        <item x="100"/>
        <item x="159"/>
        <item x="263"/>
        <item x="32"/>
        <item x="363"/>
        <item x="223"/>
        <item x="124"/>
        <item x="114"/>
        <item x="301"/>
        <item x="197"/>
        <item x="61"/>
        <item x="258"/>
        <item x="139"/>
        <item x="232"/>
        <item x="321"/>
        <item x="348"/>
        <item x="357"/>
        <item x="274"/>
        <item x="276"/>
        <item x="257"/>
        <item x="248"/>
        <item x="158"/>
        <item x="237"/>
        <item x="176"/>
        <item x="246"/>
        <item x="242"/>
        <item x="87"/>
        <item x="109"/>
        <item x="259"/>
        <item x="153"/>
        <item x="106"/>
        <item x="162"/>
        <item x="11"/>
        <item x="267"/>
        <item x="182"/>
        <item x="304"/>
        <item x="282"/>
        <item x="375"/>
        <item x="167"/>
        <item x="342"/>
        <item x="222"/>
        <item x="177"/>
        <item x="262"/>
        <item x="271"/>
        <item x="310"/>
        <item x="148"/>
        <item x="136"/>
        <item x="358"/>
        <item x="369"/>
        <item x="193"/>
        <item x="196"/>
        <item x="278"/>
        <item x="208"/>
        <item x="275"/>
        <item x="157"/>
        <item x="138"/>
        <item x="17"/>
        <item x="44"/>
        <item x="309"/>
        <item x="317"/>
        <item x="171"/>
        <item x="168"/>
        <item x="376"/>
        <item x="233"/>
        <item x="378"/>
        <item x="166"/>
        <item x="151"/>
        <item x="361"/>
        <item x="256"/>
        <item x="160"/>
        <item x="200"/>
        <item x="48"/>
        <item x="143"/>
        <item x="366"/>
        <item x="294"/>
        <item x="165"/>
        <item x="379"/>
        <item x="203"/>
        <item x="272"/>
        <item x="74"/>
        <item x="291"/>
        <item x="225"/>
        <item x="372"/>
        <item x="380"/>
        <item x="377"/>
        <item x="163"/>
        <item x="118"/>
        <item x="288"/>
        <item x="96"/>
        <item x="264"/>
        <item x="164"/>
        <item x="303"/>
        <item x="352"/>
        <item x="252"/>
        <item x="178"/>
        <item x="181"/>
        <item x="161"/>
        <item x="260"/>
        <item x="169"/>
        <item x="146"/>
        <item x="77"/>
        <item x="174"/>
        <item x="217"/>
        <item x="340"/>
        <item x="292"/>
        <item x="277"/>
        <item x="186"/>
        <item x="241"/>
        <item x="255"/>
        <item x="141"/>
        <item x="192"/>
        <item x="123"/>
        <item x="293"/>
        <item x="381"/>
        <item x="368"/>
        <item x="284"/>
        <item x="152"/>
        <item x="295"/>
        <item x="188"/>
        <item x="371"/>
        <item x="298"/>
        <item x="230"/>
        <item x="353"/>
        <item x="297"/>
        <item x="279"/>
        <item x="206"/>
        <item x="185"/>
        <item x="191"/>
        <item x="299"/>
        <item x="270"/>
        <item x="150"/>
        <item x="179"/>
        <item x="190"/>
        <item x="287"/>
        <item x="172"/>
        <item x="175"/>
        <item x="296"/>
        <item x="370"/>
        <item x="286"/>
        <item x="189"/>
        <item x="187"/>
        <item x="180"/>
        <item x="8"/>
        <item t="default"/>
      </items>
    </pivotField>
  </pivotFields>
  <rowFields count="3">
    <field x="6"/>
    <field x="1"/>
    <field x="5"/>
  </rowFields>
  <rowItems count="26">
    <i>
      <x v="38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1">
      <x v="3"/>
    </i>
    <i r="2">
      <x/>
    </i>
    <i r="2">
      <x v="1"/>
    </i>
    <i r="2">
      <x v="2"/>
    </i>
    <i r="1">
      <x v="4"/>
    </i>
    <i r="2">
      <x/>
    </i>
    <i r="2">
      <x v="1"/>
    </i>
    <i r="2">
      <x v="2"/>
    </i>
    <i r="1">
      <x v="5"/>
    </i>
    <i r="2">
      <x/>
    </i>
    <i r="2">
      <x v="1"/>
    </i>
    <i r="2">
      <x v="2"/>
    </i>
    <i t="grand">
      <x/>
    </i>
  </rowItems>
  <colItems count="1">
    <i/>
  </colItems>
  <dataFields count="1">
    <dataField name="求和项:Value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3960A-0CBA-4A30-9C9E-10745B91269D}">
  <dimension ref="A1:B27"/>
  <sheetViews>
    <sheetView workbookViewId="0"/>
  </sheetViews>
  <sheetFormatPr defaultRowHeight="13.8" x14ac:dyDescent="0.25"/>
  <cols>
    <col min="1" max="1" width="23.5546875" bestFit="1" customWidth="1"/>
    <col min="2" max="2" width="14.109375" bestFit="1" customWidth="1"/>
  </cols>
  <sheetData>
    <row r="1" spans="1:2" x14ac:dyDescent="0.25">
      <c r="A1" s="4" t="s">
        <v>33</v>
      </c>
      <c r="B1" t="s">
        <v>35</v>
      </c>
    </row>
    <row r="2" spans="1:2" x14ac:dyDescent="0.25">
      <c r="A2" s="5">
        <v>7343</v>
      </c>
      <c r="B2" s="8">
        <v>923.00000000000011</v>
      </c>
    </row>
    <row r="3" spans="1:2" x14ac:dyDescent="0.25">
      <c r="A3" s="6">
        <v>1</v>
      </c>
      <c r="B3" s="8">
        <v>156</v>
      </c>
    </row>
    <row r="4" spans="1:2" x14ac:dyDescent="0.25">
      <c r="A4" s="7" t="s">
        <v>18</v>
      </c>
      <c r="B4" s="8">
        <v>20</v>
      </c>
    </row>
    <row r="5" spans="1:2" x14ac:dyDescent="0.25">
      <c r="A5" s="7" t="s">
        <v>19</v>
      </c>
      <c r="B5" s="8">
        <v>86</v>
      </c>
    </row>
    <row r="6" spans="1:2" x14ac:dyDescent="0.25">
      <c r="A6" s="7" t="s">
        <v>32</v>
      </c>
      <c r="B6" s="8">
        <v>50</v>
      </c>
    </row>
    <row r="7" spans="1:2" x14ac:dyDescent="0.25">
      <c r="A7" s="6" t="s">
        <v>22</v>
      </c>
      <c r="B7" s="8">
        <v>72.833333333333329</v>
      </c>
    </row>
    <row r="8" spans="1:2" x14ac:dyDescent="0.25">
      <c r="A8" s="7" t="s">
        <v>18</v>
      </c>
      <c r="B8" s="8">
        <v>21</v>
      </c>
    </row>
    <row r="9" spans="1:2" x14ac:dyDescent="0.25">
      <c r="A9" s="7" t="s">
        <v>19</v>
      </c>
      <c r="B9" s="8">
        <v>32.5</v>
      </c>
    </row>
    <row r="10" spans="1:2" x14ac:dyDescent="0.25">
      <c r="A10" s="7" t="s">
        <v>32</v>
      </c>
      <c r="B10" s="8">
        <v>19.333333333333332</v>
      </c>
    </row>
    <row r="11" spans="1:2" x14ac:dyDescent="0.25">
      <c r="A11" s="6" t="s">
        <v>24</v>
      </c>
      <c r="B11" s="8">
        <v>124.29999999999998</v>
      </c>
    </row>
    <row r="12" spans="1:2" x14ac:dyDescent="0.25">
      <c r="A12" s="7" t="s">
        <v>18</v>
      </c>
      <c r="B12" s="8">
        <v>38.833333333333336</v>
      </c>
    </row>
    <row r="13" spans="1:2" x14ac:dyDescent="0.25">
      <c r="A13" s="7" t="s">
        <v>19</v>
      </c>
      <c r="B13" s="8">
        <v>43.8</v>
      </c>
    </row>
    <row r="14" spans="1:2" x14ac:dyDescent="0.25">
      <c r="A14" s="7" t="s">
        <v>32</v>
      </c>
      <c r="B14" s="8">
        <v>41.666666666666664</v>
      </c>
    </row>
    <row r="15" spans="1:2" x14ac:dyDescent="0.25">
      <c r="A15" s="6" t="s">
        <v>26</v>
      </c>
      <c r="B15" s="8">
        <v>157.33333333333334</v>
      </c>
    </row>
    <row r="16" spans="1:2" x14ac:dyDescent="0.25">
      <c r="A16" s="7" t="s">
        <v>18</v>
      </c>
      <c r="B16" s="8">
        <v>43</v>
      </c>
    </row>
    <row r="17" spans="1:2" x14ac:dyDescent="0.25">
      <c r="A17" s="7" t="s">
        <v>19</v>
      </c>
      <c r="B17" s="8">
        <v>60</v>
      </c>
    </row>
    <row r="18" spans="1:2" x14ac:dyDescent="0.25">
      <c r="A18" s="7" t="s">
        <v>32</v>
      </c>
      <c r="B18" s="8">
        <v>54.333333333333336</v>
      </c>
    </row>
    <row r="19" spans="1:2" x14ac:dyDescent="0.25">
      <c r="A19" s="6" t="s">
        <v>28</v>
      </c>
      <c r="B19" s="8">
        <v>179.76666666666665</v>
      </c>
    </row>
    <row r="20" spans="1:2" x14ac:dyDescent="0.25">
      <c r="A20" s="7" t="s">
        <v>18</v>
      </c>
      <c r="B20" s="8">
        <v>57.166666666666664</v>
      </c>
    </row>
    <row r="21" spans="1:2" x14ac:dyDescent="0.25">
      <c r="A21" s="7" t="s">
        <v>19</v>
      </c>
      <c r="B21" s="8">
        <v>64.599999999999994</v>
      </c>
    </row>
    <row r="22" spans="1:2" x14ac:dyDescent="0.25">
      <c r="A22" s="7" t="s">
        <v>32</v>
      </c>
      <c r="B22" s="8">
        <v>58</v>
      </c>
    </row>
    <row r="23" spans="1:2" x14ac:dyDescent="0.25">
      <c r="A23" s="6" t="s">
        <v>30</v>
      </c>
      <c r="B23" s="8">
        <v>232.76666666666665</v>
      </c>
    </row>
    <row r="24" spans="1:2" x14ac:dyDescent="0.25">
      <c r="A24" s="7" t="s">
        <v>18</v>
      </c>
      <c r="B24" s="8">
        <v>73.333333333333329</v>
      </c>
    </row>
    <row r="25" spans="1:2" x14ac:dyDescent="0.25">
      <c r="A25" s="7" t="s">
        <v>19</v>
      </c>
      <c r="B25" s="8">
        <v>83.6</v>
      </c>
    </row>
    <row r="26" spans="1:2" x14ac:dyDescent="0.25">
      <c r="A26" s="7" t="s">
        <v>32</v>
      </c>
      <c r="B26" s="8">
        <v>75.833333333333329</v>
      </c>
    </row>
    <row r="27" spans="1:2" x14ac:dyDescent="0.25">
      <c r="A27" s="5" t="s">
        <v>34</v>
      </c>
      <c r="B27" s="8">
        <v>923.00000000000011</v>
      </c>
    </row>
  </sheetData>
  <phoneticPr fontId="1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EE6E6-5FDB-4EDF-8BD7-80ABB0238F60}">
  <dimension ref="A1:H775"/>
  <sheetViews>
    <sheetView tabSelected="1" zoomScale="115" zoomScaleNormal="115" workbookViewId="0">
      <selection activeCell="D15" sqref="D15"/>
    </sheetView>
  </sheetViews>
  <sheetFormatPr defaultRowHeight="13.8" x14ac:dyDescent="0.25"/>
  <cols>
    <col min="2" max="2" width="13.33203125" style="3" bestFit="1" customWidth="1"/>
    <col min="3" max="4" width="13.33203125" bestFit="1" customWidth="1"/>
    <col min="5" max="5" width="10.6640625" bestFit="1" customWidth="1"/>
    <col min="6" max="6" width="18" bestFit="1" customWidth="1"/>
  </cols>
  <sheetData>
    <row r="1" spans="1:8" x14ac:dyDescent="0.25">
      <c r="A1" t="s">
        <v>15</v>
      </c>
      <c r="B1" s="3" t="s">
        <v>14</v>
      </c>
      <c r="C1" t="s">
        <v>21</v>
      </c>
      <c r="D1" t="s">
        <v>5</v>
      </c>
      <c r="E1" t="s">
        <v>0</v>
      </c>
      <c r="F1" t="s">
        <v>20</v>
      </c>
      <c r="G1" t="s">
        <v>2</v>
      </c>
      <c r="H1" t="s">
        <v>1</v>
      </c>
    </row>
    <row r="2" spans="1:8" x14ac:dyDescent="0.25">
      <c r="A2" t="s">
        <v>16</v>
      </c>
      <c r="B2" s="2">
        <v>1</v>
      </c>
      <c r="C2" s="2">
        <v>1</v>
      </c>
      <c r="D2" s="1">
        <v>10</v>
      </c>
      <c r="E2">
        <v>2</v>
      </c>
      <c r="F2" t="s">
        <v>18</v>
      </c>
      <c r="G2">
        <v>7301</v>
      </c>
      <c r="H2">
        <v>20</v>
      </c>
    </row>
    <row r="3" spans="1:8" x14ac:dyDescent="0.25">
      <c r="A3" t="s">
        <v>16</v>
      </c>
      <c r="B3" s="2">
        <v>1</v>
      </c>
      <c r="C3" s="2">
        <v>1</v>
      </c>
      <c r="D3" s="1">
        <v>10</v>
      </c>
      <c r="E3">
        <v>8</v>
      </c>
      <c r="F3" t="s">
        <v>19</v>
      </c>
      <c r="G3">
        <v>7301</v>
      </c>
      <c r="H3">
        <v>100</v>
      </c>
    </row>
    <row r="4" spans="1:8" x14ac:dyDescent="0.25">
      <c r="A4" t="s">
        <v>16</v>
      </c>
      <c r="B4" s="2">
        <v>1</v>
      </c>
      <c r="C4" s="2">
        <v>1</v>
      </c>
      <c r="D4" s="1">
        <v>10</v>
      </c>
      <c r="E4">
        <v>5</v>
      </c>
      <c r="F4" t="s">
        <v>32</v>
      </c>
      <c r="G4">
        <v>7301</v>
      </c>
      <c r="H4">
        <v>50</v>
      </c>
    </row>
    <row r="5" spans="1:8" x14ac:dyDescent="0.25">
      <c r="A5" t="s">
        <v>16</v>
      </c>
      <c r="B5" s="3" t="s">
        <v>23</v>
      </c>
      <c r="C5" t="s">
        <v>11</v>
      </c>
      <c r="D5">
        <v>2</v>
      </c>
      <c r="E5">
        <f t="shared" ref="E5:E19" si="0">(D5*8+(10-D5)*2)/10</f>
        <v>3.2</v>
      </c>
      <c r="F5" t="s">
        <v>18</v>
      </c>
      <c r="G5">
        <v>7301</v>
      </c>
      <c r="H5">
        <v>20.333333333333332</v>
      </c>
    </row>
    <row r="6" spans="1:8" x14ac:dyDescent="0.25">
      <c r="A6" t="s">
        <v>16</v>
      </c>
      <c r="B6" s="3" t="s">
        <v>23</v>
      </c>
      <c r="C6" t="s">
        <v>11</v>
      </c>
      <c r="D6">
        <v>2</v>
      </c>
      <c r="E6">
        <f t="shared" si="0"/>
        <v>3.2</v>
      </c>
      <c r="F6" t="s">
        <v>19</v>
      </c>
      <c r="G6">
        <v>7301</v>
      </c>
      <c r="H6">
        <v>23.833333333333332</v>
      </c>
    </row>
    <row r="7" spans="1:8" x14ac:dyDescent="0.25">
      <c r="A7" t="s">
        <v>17</v>
      </c>
      <c r="B7" s="3" t="s">
        <v>22</v>
      </c>
      <c r="C7" t="s">
        <v>10</v>
      </c>
      <c r="D7">
        <v>2</v>
      </c>
      <c r="E7">
        <f t="shared" si="0"/>
        <v>3.2</v>
      </c>
      <c r="F7" t="s">
        <v>32</v>
      </c>
      <c r="G7">
        <v>7301</v>
      </c>
      <c r="H7">
        <v>20</v>
      </c>
    </row>
    <row r="8" spans="1:8" x14ac:dyDescent="0.25">
      <c r="A8" t="s">
        <v>16</v>
      </c>
      <c r="B8" s="3" t="s">
        <v>25</v>
      </c>
      <c r="C8" t="s">
        <v>13</v>
      </c>
      <c r="D8">
        <v>4</v>
      </c>
      <c r="E8">
        <f t="shared" si="0"/>
        <v>4.4000000000000004</v>
      </c>
      <c r="F8" t="s">
        <v>18</v>
      </c>
      <c r="G8">
        <v>7301</v>
      </c>
      <c r="H8">
        <v>40</v>
      </c>
    </row>
    <row r="9" spans="1:8" x14ac:dyDescent="0.25">
      <c r="A9" t="s">
        <v>16</v>
      </c>
      <c r="B9" s="3" t="s">
        <v>25</v>
      </c>
      <c r="C9" t="s">
        <v>13</v>
      </c>
      <c r="D9">
        <v>4</v>
      </c>
      <c r="E9">
        <f t="shared" si="0"/>
        <v>4.4000000000000004</v>
      </c>
      <c r="F9" t="s">
        <v>19</v>
      </c>
      <c r="G9">
        <v>7301</v>
      </c>
      <c r="H9">
        <v>42.333333333333336</v>
      </c>
    </row>
    <row r="10" spans="1:8" x14ac:dyDescent="0.25">
      <c r="A10" t="s">
        <v>17</v>
      </c>
      <c r="B10" s="3" t="s">
        <v>24</v>
      </c>
      <c r="C10" t="s">
        <v>12</v>
      </c>
      <c r="D10">
        <v>4</v>
      </c>
      <c r="E10">
        <f t="shared" si="0"/>
        <v>4.4000000000000004</v>
      </c>
      <c r="F10" t="s">
        <v>32</v>
      </c>
      <c r="G10">
        <v>7301</v>
      </c>
      <c r="H10">
        <v>40</v>
      </c>
    </row>
    <row r="11" spans="1:8" x14ac:dyDescent="0.25">
      <c r="A11" t="s">
        <v>16</v>
      </c>
      <c r="B11" s="3" t="s">
        <v>27</v>
      </c>
      <c r="C11" t="s">
        <v>9</v>
      </c>
      <c r="D11">
        <v>5</v>
      </c>
      <c r="E11">
        <f t="shared" si="0"/>
        <v>5</v>
      </c>
      <c r="F11" t="s">
        <v>18</v>
      </c>
      <c r="G11">
        <v>7301</v>
      </c>
      <c r="H11">
        <v>50</v>
      </c>
    </row>
    <row r="12" spans="1:8" x14ac:dyDescent="0.25">
      <c r="A12" t="s">
        <v>16</v>
      </c>
      <c r="B12" s="3" t="s">
        <v>27</v>
      </c>
      <c r="C12" t="s">
        <v>9</v>
      </c>
      <c r="D12">
        <v>5</v>
      </c>
      <c r="E12">
        <f t="shared" si="0"/>
        <v>5</v>
      </c>
      <c r="F12" t="s">
        <v>19</v>
      </c>
      <c r="G12">
        <v>7301</v>
      </c>
      <c r="H12">
        <v>54.333333333333336</v>
      </c>
    </row>
    <row r="13" spans="1:8" x14ac:dyDescent="0.25">
      <c r="A13" t="s">
        <v>17</v>
      </c>
      <c r="B13" s="3" t="s">
        <v>26</v>
      </c>
      <c r="C13" t="s">
        <v>8</v>
      </c>
      <c r="D13">
        <v>5</v>
      </c>
      <c r="E13">
        <f t="shared" si="0"/>
        <v>5</v>
      </c>
      <c r="F13" t="s">
        <v>32</v>
      </c>
      <c r="G13">
        <v>7301</v>
      </c>
      <c r="H13">
        <v>50</v>
      </c>
    </row>
    <row r="14" spans="1:8" x14ac:dyDescent="0.25">
      <c r="A14" t="s">
        <v>16</v>
      </c>
      <c r="B14" s="3" t="s">
        <v>29</v>
      </c>
      <c r="C14" t="s">
        <v>7</v>
      </c>
      <c r="D14">
        <v>6</v>
      </c>
      <c r="E14">
        <f t="shared" si="0"/>
        <v>5.6</v>
      </c>
      <c r="F14" t="s">
        <v>18</v>
      </c>
      <c r="G14">
        <v>7301</v>
      </c>
      <c r="H14">
        <v>60.166666666666664</v>
      </c>
    </row>
    <row r="15" spans="1:8" x14ac:dyDescent="0.25">
      <c r="A15" t="s">
        <v>16</v>
      </c>
      <c r="B15" s="3" t="s">
        <v>29</v>
      </c>
      <c r="C15" t="s">
        <v>7</v>
      </c>
      <c r="D15">
        <v>6</v>
      </c>
      <c r="E15">
        <f t="shared" si="0"/>
        <v>5.6</v>
      </c>
      <c r="F15" t="s">
        <v>19</v>
      </c>
      <c r="G15">
        <v>7301</v>
      </c>
      <c r="H15">
        <v>64.166666666666671</v>
      </c>
    </row>
    <row r="16" spans="1:8" x14ac:dyDescent="0.25">
      <c r="A16" t="s">
        <v>17</v>
      </c>
      <c r="B16" s="3" t="s">
        <v>28</v>
      </c>
      <c r="C16" t="s">
        <v>6</v>
      </c>
      <c r="D16">
        <v>6</v>
      </c>
      <c r="E16">
        <f t="shared" si="0"/>
        <v>5.6</v>
      </c>
      <c r="F16" t="s">
        <v>32</v>
      </c>
      <c r="G16">
        <v>7301</v>
      </c>
      <c r="H16">
        <v>60</v>
      </c>
    </row>
    <row r="17" spans="1:8" x14ac:dyDescent="0.25">
      <c r="A17" t="s">
        <v>16</v>
      </c>
      <c r="B17" s="3" t="s">
        <v>31</v>
      </c>
      <c r="C17" t="s">
        <v>4</v>
      </c>
      <c r="D17">
        <v>8</v>
      </c>
      <c r="E17">
        <f t="shared" si="0"/>
        <v>6.8</v>
      </c>
      <c r="F17" t="s">
        <v>18</v>
      </c>
      <c r="G17">
        <v>7301</v>
      </c>
      <c r="H17">
        <v>80</v>
      </c>
    </row>
    <row r="18" spans="1:8" x14ac:dyDescent="0.25">
      <c r="A18" t="s">
        <v>16</v>
      </c>
      <c r="B18" s="3" t="s">
        <v>31</v>
      </c>
      <c r="C18" t="s">
        <v>4</v>
      </c>
      <c r="D18">
        <v>8</v>
      </c>
      <c r="E18">
        <f t="shared" si="0"/>
        <v>6.8</v>
      </c>
      <c r="F18" t="s">
        <v>19</v>
      </c>
      <c r="G18">
        <v>7301</v>
      </c>
      <c r="H18">
        <v>85.333333333333329</v>
      </c>
    </row>
    <row r="19" spans="1:8" x14ac:dyDescent="0.25">
      <c r="A19" t="s">
        <v>17</v>
      </c>
      <c r="B19" s="3" t="s">
        <v>30</v>
      </c>
      <c r="C19" t="s">
        <v>3</v>
      </c>
      <c r="D19">
        <v>8</v>
      </c>
      <c r="E19">
        <f t="shared" si="0"/>
        <v>6.8</v>
      </c>
      <c r="F19" t="s">
        <v>32</v>
      </c>
      <c r="G19">
        <v>7301</v>
      </c>
      <c r="H19">
        <v>80</v>
      </c>
    </row>
    <row r="20" spans="1:8" x14ac:dyDescent="0.25">
      <c r="A20" t="s">
        <v>16</v>
      </c>
      <c r="B20" s="2">
        <v>1</v>
      </c>
      <c r="C20" s="2">
        <v>1</v>
      </c>
      <c r="D20" s="1">
        <v>10</v>
      </c>
      <c r="E20">
        <v>2</v>
      </c>
      <c r="F20" t="s">
        <v>18</v>
      </c>
      <c r="G20">
        <v>7302</v>
      </c>
      <c r="H20">
        <v>20.1666666666666</v>
      </c>
    </row>
    <row r="21" spans="1:8" x14ac:dyDescent="0.25">
      <c r="A21" t="s">
        <v>16</v>
      </c>
      <c r="B21" s="2">
        <v>1</v>
      </c>
      <c r="C21" s="2">
        <v>1</v>
      </c>
      <c r="D21" s="1">
        <v>10</v>
      </c>
      <c r="E21">
        <v>8</v>
      </c>
      <c r="F21" t="s">
        <v>19</v>
      </c>
      <c r="G21">
        <v>7302</v>
      </c>
      <c r="H21">
        <v>45</v>
      </c>
    </row>
    <row r="22" spans="1:8" x14ac:dyDescent="0.25">
      <c r="A22" t="s">
        <v>16</v>
      </c>
      <c r="B22" s="2">
        <v>1</v>
      </c>
      <c r="C22" s="2">
        <v>1</v>
      </c>
      <c r="D22" s="1">
        <v>10</v>
      </c>
      <c r="E22">
        <v>5</v>
      </c>
      <c r="F22" t="s">
        <v>32</v>
      </c>
      <c r="G22">
        <v>7302</v>
      </c>
      <c r="H22">
        <v>29.8333333333333</v>
      </c>
    </row>
    <row r="23" spans="1:8" x14ac:dyDescent="0.25">
      <c r="A23" t="s">
        <v>16</v>
      </c>
      <c r="B23" s="3" t="s">
        <v>23</v>
      </c>
      <c r="C23" t="s">
        <v>11</v>
      </c>
      <c r="D23">
        <v>2</v>
      </c>
      <c r="E23">
        <f t="shared" ref="E23:E37" si="1">(D23*8+(10-D23)*2)/10</f>
        <v>3.2</v>
      </c>
      <c r="F23" t="s">
        <v>18</v>
      </c>
      <c r="G23">
        <v>7302</v>
      </c>
      <c r="H23">
        <v>19.8333333333333</v>
      </c>
    </row>
    <row r="24" spans="1:8" x14ac:dyDescent="0.25">
      <c r="A24" t="s">
        <v>16</v>
      </c>
      <c r="B24" s="3" t="s">
        <v>23</v>
      </c>
      <c r="C24" t="s">
        <v>11</v>
      </c>
      <c r="D24">
        <v>2</v>
      </c>
      <c r="E24">
        <f t="shared" si="1"/>
        <v>3.2</v>
      </c>
      <c r="F24" t="s">
        <v>19</v>
      </c>
      <c r="G24">
        <v>7302</v>
      </c>
      <c r="H24">
        <v>40</v>
      </c>
    </row>
    <row r="25" spans="1:8" x14ac:dyDescent="0.25">
      <c r="A25" t="s">
        <v>17</v>
      </c>
      <c r="B25" s="3" t="s">
        <v>22</v>
      </c>
      <c r="C25" t="s">
        <v>10</v>
      </c>
      <c r="D25">
        <v>2</v>
      </c>
      <c r="E25">
        <f t="shared" si="1"/>
        <v>3.2</v>
      </c>
      <c r="F25" t="s">
        <v>32</v>
      </c>
      <c r="G25">
        <v>7302</v>
      </c>
      <c r="H25">
        <v>20.5</v>
      </c>
    </row>
    <row r="26" spans="1:8" x14ac:dyDescent="0.25">
      <c r="A26" t="s">
        <v>16</v>
      </c>
      <c r="B26" s="3" t="s">
        <v>25</v>
      </c>
      <c r="C26" t="s">
        <v>13</v>
      </c>
      <c r="D26">
        <v>4</v>
      </c>
      <c r="E26">
        <f t="shared" si="1"/>
        <v>4.4000000000000004</v>
      </c>
      <c r="F26" t="s">
        <v>18</v>
      </c>
      <c r="G26">
        <v>7302</v>
      </c>
      <c r="H26">
        <v>20</v>
      </c>
    </row>
    <row r="27" spans="1:8" x14ac:dyDescent="0.25">
      <c r="A27" t="s">
        <v>16</v>
      </c>
      <c r="B27" s="3" t="s">
        <v>25</v>
      </c>
      <c r="C27" t="s">
        <v>13</v>
      </c>
      <c r="D27">
        <v>4</v>
      </c>
      <c r="E27">
        <f t="shared" si="1"/>
        <v>4.4000000000000004</v>
      </c>
      <c r="F27" t="s">
        <v>19</v>
      </c>
      <c r="G27">
        <v>7302</v>
      </c>
      <c r="H27">
        <v>40</v>
      </c>
    </row>
    <row r="28" spans="1:8" x14ac:dyDescent="0.25">
      <c r="A28" t="s">
        <v>17</v>
      </c>
      <c r="B28" s="3" t="s">
        <v>24</v>
      </c>
      <c r="C28" t="s">
        <v>12</v>
      </c>
      <c r="D28">
        <v>4</v>
      </c>
      <c r="E28">
        <f t="shared" si="1"/>
        <v>4.4000000000000004</v>
      </c>
      <c r="F28" t="s">
        <v>32</v>
      </c>
      <c r="G28">
        <v>7302</v>
      </c>
      <c r="H28">
        <v>28.1666666666666</v>
      </c>
    </row>
    <row r="29" spans="1:8" x14ac:dyDescent="0.25">
      <c r="A29" t="s">
        <v>16</v>
      </c>
      <c r="B29" s="3" t="s">
        <v>27</v>
      </c>
      <c r="C29" t="s">
        <v>9</v>
      </c>
      <c r="D29">
        <v>5</v>
      </c>
      <c r="E29">
        <f t="shared" si="1"/>
        <v>5</v>
      </c>
      <c r="F29" t="s">
        <v>18</v>
      </c>
      <c r="G29">
        <v>7302</v>
      </c>
      <c r="H29">
        <v>20.8333333333333</v>
      </c>
    </row>
    <row r="30" spans="1:8" x14ac:dyDescent="0.25">
      <c r="A30" t="s">
        <v>16</v>
      </c>
      <c r="B30" s="3" t="s">
        <v>27</v>
      </c>
      <c r="C30" t="s">
        <v>9</v>
      </c>
      <c r="D30">
        <v>5</v>
      </c>
      <c r="E30">
        <f t="shared" si="1"/>
        <v>5</v>
      </c>
      <c r="F30" t="s">
        <v>19</v>
      </c>
      <c r="G30">
        <v>7302</v>
      </c>
      <c r="H30">
        <v>40</v>
      </c>
    </row>
    <row r="31" spans="1:8" x14ac:dyDescent="0.25">
      <c r="A31" t="s">
        <v>17</v>
      </c>
      <c r="B31" s="3" t="s">
        <v>26</v>
      </c>
      <c r="C31" t="s">
        <v>8</v>
      </c>
      <c r="D31">
        <v>5</v>
      </c>
      <c r="E31">
        <f t="shared" si="1"/>
        <v>5</v>
      </c>
      <c r="F31" t="s">
        <v>32</v>
      </c>
      <c r="G31">
        <v>7302</v>
      </c>
      <c r="H31">
        <v>30.6666666666666</v>
      </c>
    </row>
    <row r="32" spans="1:8" x14ac:dyDescent="0.25">
      <c r="A32" t="s">
        <v>16</v>
      </c>
      <c r="B32" s="3" t="s">
        <v>29</v>
      </c>
      <c r="C32" t="s">
        <v>7</v>
      </c>
      <c r="D32">
        <v>6</v>
      </c>
      <c r="E32">
        <f t="shared" si="1"/>
        <v>5.6</v>
      </c>
      <c r="F32" t="s">
        <v>18</v>
      </c>
      <c r="G32">
        <v>7302</v>
      </c>
      <c r="H32">
        <v>21.6666666666666</v>
      </c>
    </row>
    <row r="33" spans="1:8" x14ac:dyDescent="0.25">
      <c r="A33" t="s">
        <v>16</v>
      </c>
      <c r="B33" s="3" t="s">
        <v>29</v>
      </c>
      <c r="C33" t="s">
        <v>7</v>
      </c>
      <c r="D33">
        <v>6</v>
      </c>
      <c r="E33">
        <f t="shared" si="1"/>
        <v>5.6</v>
      </c>
      <c r="F33" t="s">
        <v>19</v>
      </c>
      <c r="G33">
        <v>7302</v>
      </c>
      <c r="H33">
        <v>40</v>
      </c>
    </row>
    <row r="34" spans="1:8" x14ac:dyDescent="0.25">
      <c r="A34" t="s">
        <v>17</v>
      </c>
      <c r="B34" s="3" t="s">
        <v>28</v>
      </c>
      <c r="C34" t="s">
        <v>6</v>
      </c>
      <c r="D34">
        <v>6</v>
      </c>
      <c r="E34">
        <f t="shared" si="1"/>
        <v>5.6</v>
      </c>
      <c r="F34" t="s">
        <v>32</v>
      </c>
      <c r="G34">
        <v>7302</v>
      </c>
      <c r="H34">
        <v>36.5</v>
      </c>
    </row>
    <row r="35" spans="1:8" x14ac:dyDescent="0.25">
      <c r="A35" t="s">
        <v>16</v>
      </c>
      <c r="B35" s="3" t="s">
        <v>31</v>
      </c>
      <c r="C35" t="s">
        <v>4</v>
      </c>
      <c r="D35">
        <v>8</v>
      </c>
      <c r="E35">
        <f t="shared" si="1"/>
        <v>6.8</v>
      </c>
      <c r="F35" t="s">
        <v>18</v>
      </c>
      <c r="G35">
        <v>7302</v>
      </c>
      <c r="H35">
        <v>19.8333333333333</v>
      </c>
    </row>
    <row r="36" spans="1:8" x14ac:dyDescent="0.25">
      <c r="A36" t="s">
        <v>16</v>
      </c>
      <c r="B36" s="3" t="s">
        <v>31</v>
      </c>
      <c r="C36" t="s">
        <v>4</v>
      </c>
      <c r="D36">
        <v>8</v>
      </c>
      <c r="E36">
        <f t="shared" si="1"/>
        <v>6.8</v>
      </c>
      <c r="F36" t="s">
        <v>19</v>
      </c>
      <c r="G36">
        <v>7302</v>
      </c>
      <c r="H36">
        <v>40</v>
      </c>
    </row>
    <row r="37" spans="1:8" x14ac:dyDescent="0.25">
      <c r="A37" t="s">
        <v>17</v>
      </c>
      <c r="B37" s="3" t="s">
        <v>30</v>
      </c>
      <c r="C37" t="s">
        <v>3</v>
      </c>
      <c r="D37">
        <v>8</v>
      </c>
      <c r="E37">
        <f t="shared" si="1"/>
        <v>6.8</v>
      </c>
      <c r="F37" t="s">
        <v>32</v>
      </c>
      <c r="G37">
        <v>7302</v>
      </c>
      <c r="H37">
        <v>40.3333333333333</v>
      </c>
    </row>
    <row r="38" spans="1:8" x14ac:dyDescent="0.25">
      <c r="A38" t="s">
        <v>16</v>
      </c>
      <c r="B38" s="2">
        <v>1</v>
      </c>
      <c r="C38" s="2">
        <v>1</v>
      </c>
      <c r="D38" s="1">
        <v>10</v>
      </c>
      <c r="E38">
        <v>2</v>
      </c>
      <c r="F38" t="s">
        <v>18</v>
      </c>
      <c r="G38">
        <v>7303</v>
      </c>
      <c r="H38">
        <v>19.833333333333332</v>
      </c>
    </row>
    <row r="39" spans="1:8" x14ac:dyDescent="0.25">
      <c r="A39" t="s">
        <v>16</v>
      </c>
      <c r="B39" s="2">
        <v>1</v>
      </c>
      <c r="C39" s="2">
        <v>1</v>
      </c>
      <c r="D39" s="1">
        <v>10</v>
      </c>
      <c r="E39">
        <v>8</v>
      </c>
      <c r="F39" t="s">
        <v>19</v>
      </c>
      <c r="G39">
        <v>7303</v>
      </c>
      <c r="H39">
        <v>62</v>
      </c>
    </row>
    <row r="40" spans="1:8" x14ac:dyDescent="0.25">
      <c r="A40" t="s">
        <v>16</v>
      </c>
      <c r="B40" s="2">
        <v>1</v>
      </c>
      <c r="C40" s="2">
        <v>1</v>
      </c>
      <c r="D40" s="1">
        <v>10</v>
      </c>
      <c r="E40">
        <v>5</v>
      </c>
      <c r="F40" t="s">
        <v>32</v>
      </c>
      <c r="G40">
        <v>7303</v>
      </c>
      <c r="H40">
        <v>48.166666666666664</v>
      </c>
    </row>
    <row r="41" spans="1:8" x14ac:dyDescent="0.25">
      <c r="A41" t="s">
        <v>16</v>
      </c>
      <c r="B41" s="3" t="s">
        <v>22</v>
      </c>
      <c r="C41" t="s">
        <v>10</v>
      </c>
      <c r="D41">
        <v>2</v>
      </c>
      <c r="E41">
        <f t="shared" ref="E41:E55" si="2">(D41*8+(10-D41)*2)/10</f>
        <v>3.2</v>
      </c>
      <c r="F41" t="s">
        <v>18</v>
      </c>
      <c r="G41">
        <v>7303</v>
      </c>
      <c r="H41">
        <v>17.5</v>
      </c>
    </row>
    <row r="42" spans="1:8" x14ac:dyDescent="0.25">
      <c r="A42" t="s">
        <v>16</v>
      </c>
      <c r="B42" s="3" t="s">
        <v>22</v>
      </c>
      <c r="C42" t="s">
        <v>10</v>
      </c>
      <c r="D42">
        <v>2</v>
      </c>
      <c r="E42">
        <f t="shared" si="2"/>
        <v>3.2</v>
      </c>
      <c r="F42" t="s">
        <v>19</v>
      </c>
      <c r="G42">
        <v>7303</v>
      </c>
      <c r="H42">
        <v>26.166666666666668</v>
      </c>
    </row>
    <row r="43" spans="1:8" x14ac:dyDescent="0.25">
      <c r="A43" t="s">
        <v>17</v>
      </c>
      <c r="B43" s="3" t="s">
        <v>22</v>
      </c>
      <c r="C43" t="s">
        <v>10</v>
      </c>
      <c r="D43">
        <v>2</v>
      </c>
      <c r="E43">
        <f t="shared" si="2"/>
        <v>3.2</v>
      </c>
      <c r="F43" t="s">
        <v>32</v>
      </c>
      <c r="G43">
        <v>7303</v>
      </c>
      <c r="H43">
        <v>18.833333333333332</v>
      </c>
    </row>
    <row r="44" spans="1:8" x14ac:dyDescent="0.25">
      <c r="A44" t="s">
        <v>16</v>
      </c>
      <c r="B44" s="3" t="s">
        <v>24</v>
      </c>
      <c r="C44" t="s">
        <v>12</v>
      </c>
      <c r="D44">
        <v>4</v>
      </c>
      <c r="E44">
        <f t="shared" si="2"/>
        <v>4.4000000000000004</v>
      </c>
      <c r="F44" t="s">
        <v>18</v>
      </c>
      <c r="G44">
        <v>7303</v>
      </c>
      <c r="H44">
        <v>24.333333333333332</v>
      </c>
    </row>
    <row r="45" spans="1:8" x14ac:dyDescent="0.25">
      <c r="A45" t="s">
        <v>16</v>
      </c>
      <c r="B45" s="3" t="s">
        <v>24</v>
      </c>
      <c r="C45" t="s">
        <v>12</v>
      </c>
      <c r="D45">
        <v>4</v>
      </c>
      <c r="E45">
        <f t="shared" si="2"/>
        <v>4.4000000000000004</v>
      </c>
      <c r="F45" t="s">
        <v>19</v>
      </c>
      <c r="G45">
        <v>7303</v>
      </c>
      <c r="H45">
        <v>22.5</v>
      </c>
    </row>
    <row r="46" spans="1:8" x14ac:dyDescent="0.25">
      <c r="A46" t="s">
        <v>17</v>
      </c>
      <c r="B46" s="3" t="s">
        <v>24</v>
      </c>
      <c r="C46" t="s">
        <v>12</v>
      </c>
      <c r="D46">
        <v>4</v>
      </c>
      <c r="E46">
        <f t="shared" si="2"/>
        <v>4.4000000000000004</v>
      </c>
      <c r="F46" t="s">
        <v>32</v>
      </c>
      <c r="G46">
        <v>7303</v>
      </c>
      <c r="H46">
        <v>18.666666666666668</v>
      </c>
    </row>
    <row r="47" spans="1:8" x14ac:dyDescent="0.25">
      <c r="A47" t="s">
        <v>16</v>
      </c>
      <c r="B47" s="3" t="s">
        <v>26</v>
      </c>
      <c r="C47" t="s">
        <v>8</v>
      </c>
      <c r="D47">
        <v>5</v>
      </c>
      <c r="E47">
        <f t="shared" si="2"/>
        <v>5</v>
      </c>
      <c r="F47" t="s">
        <v>18</v>
      </c>
      <c r="G47">
        <v>7303</v>
      </c>
      <c r="H47">
        <v>21</v>
      </c>
    </row>
    <row r="48" spans="1:8" x14ac:dyDescent="0.25">
      <c r="A48" t="s">
        <v>16</v>
      </c>
      <c r="B48" s="3" t="s">
        <v>26</v>
      </c>
      <c r="C48" t="s">
        <v>8</v>
      </c>
      <c r="D48">
        <v>5</v>
      </c>
      <c r="E48">
        <f t="shared" si="2"/>
        <v>5</v>
      </c>
      <c r="F48" t="s">
        <v>19</v>
      </c>
      <c r="G48">
        <v>7303</v>
      </c>
      <c r="H48">
        <v>30.833333333333332</v>
      </c>
    </row>
    <row r="49" spans="1:8" x14ac:dyDescent="0.25">
      <c r="A49" t="s">
        <v>17</v>
      </c>
      <c r="B49" s="3" t="s">
        <v>26</v>
      </c>
      <c r="C49" t="s">
        <v>8</v>
      </c>
      <c r="D49">
        <v>5</v>
      </c>
      <c r="E49">
        <f t="shared" si="2"/>
        <v>5</v>
      </c>
      <c r="F49" t="s">
        <v>32</v>
      </c>
      <c r="G49">
        <v>7303</v>
      </c>
      <c r="H49">
        <v>22.666666666666668</v>
      </c>
    </row>
    <row r="50" spans="1:8" x14ac:dyDescent="0.25">
      <c r="A50" t="s">
        <v>16</v>
      </c>
      <c r="B50" s="3" t="s">
        <v>28</v>
      </c>
      <c r="C50" t="s">
        <v>6</v>
      </c>
      <c r="D50">
        <v>6</v>
      </c>
      <c r="E50">
        <f t="shared" si="2"/>
        <v>5.6</v>
      </c>
      <c r="F50" t="s">
        <v>18</v>
      </c>
      <c r="G50">
        <v>7303</v>
      </c>
      <c r="H50">
        <v>23.333333333333332</v>
      </c>
    </row>
    <row r="51" spans="1:8" x14ac:dyDescent="0.25">
      <c r="A51" t="s">
        <v>16</v>
      </c>
      <c r="B51" s="3" t="s">
        <v>28</v>
      </c>
      <c r="C51" t="s">
        <v>6</v>
      </c>
      <c r="D51">
        <v>6</v>
      </c>
      <c r="E51">
        <f t="shared" si="2"/>
        <v>5.6</v>
      </c>
      <c r="F51" t="s">
        <v>19</v>
      </c>
      <c r="G51">
        <v>7303</v>
      </c>
      <c r="H51">
        <v>35.166666666666664</v>
      </c>
    </row>
    <row r="52" spans="1:8" x14ac:dyDescent="0.25">
      <c r="A52" t="s">
        <v>17</v>
      </c>
      <c r="B52" s="3" t="s">
        <v>28</v>
      </c>
      <c r="C52" t="s">
        <v>6</v>
      </c>
      <c r="D52">
        <v>6</v>
      </c>
      <c r="E52">
        <f t="shared" si="2"/>
        <v>5.6</v>
      </c>
      <c r="F52" t="s">
        <v>32</v>
      </c>
      <c r="G52">
        <v>7303</v>
      </c>
      <c r="H52">
        <v>32.5</v>
      </c>
    </row>
    <row r="53" spans="1:8" x14ac:dyDescent="0.25">
      <c r="A53" t="s">
        <v>16</v>
      </c>
      <c r="B53" s="3" t="s">
        <v>30</v>
      </c>
      <c r="C53" t="s">
        <v>3</v>
      </c>
      <c r="D53">
        <v>8</v>
      </c>
      <c r="E53">
        <f t="shared" si="2"/>
        <v>6.8</v>
      </c>
      <c r="F53" t="s">
        <v>18</v>
      </c>
      <c r="G53">
        <v>7303</v>
      </c>
      <c r="H53">
        <v>39.166666666666664</v>
      </c>
    </row>
    <row r="54" spans="1:8" x14ac:dyDescent="0.25">
      <c r="A54" t="s">
        <v>16</v>
      </c>
      <c r="B54" s="3" t="s">
        <v>30</v>
      </c>
      <c r="C54" t="s">
        <v>3</v>
      </c>
      <c r="D54">
        <v>8</v>
      </c>
      <c r="E54">
        <f t="shared" si="2"/>
        <v>6.8</v>
      </c>
      <c r="F54" t="s">
        <v>19</v>
      </c>
      <c r="G54">
        <v>7303</v>
      </c>
      <c r="H54">
        <v>39.333333333333336</v>
      </c>
    </row>
    <row r="55" spans="1:8" x14ac:dyDescent="0.25">
      <c r="A55" t="s">
        <v>17</v>
      </c>
      <c r="B55" s="3" t="s">
        <v>30</v>
      </c>
      <c r="C55" t="s">
        <v>3</v>
      </c>
      <c r="D55">
        <v>8</v>
      </c>
      <c r="E55">
        <f t="shared" si="2"/>
        <v>6.8</v>
      </c>
      <c r="F55" t="s">
        <v>32</v>
      </c>
      <c r="G55">
        <v>7303</v>
      </c>
      <c r="H55">
        <v>38.5</v>
      </c>
    </row>
    <row r="56" spans="1:8" x14ac:dyDescent="0.25">
      <c r="A56" t="s">
        <v>16</v>
      </c>
      <c r="B56" s="2">
        <v>1</v>
      </c>
      <c r="C56" s="2">
        <v>1</v>
      </c>
      <c r="D56" s="1">
        <v>10</v>
      </c>
      <c r="E56">
        <v>2</v>
      </c>
      <c r="F56" t="s">
        <v>18</v>
      </c>
      <c r="G56">
        <v>7304</v>
      </c>
      <c r="H56">
        <v>49.833333333333336</v>
      </c>
    </row>
    <row r="57" spans="1:8" x14ac:dyDescent="0.25">
      <c r="A57" t="s">
        <v>16</v>
      </c>
      <c r="B57" s="2">
        <v>1</v>
      </c>
      <c r="C57" s="2">
        <v>1</v>
      </c>
      <c r="D57" s="1">
        <v>10</v>
      </c>
      <c r="E57">
        <v>8</v>
      </c>
      <c r="F57" t="s">
        <v>19</v>
      </c>
      <c r="G57">
        <v>7304</v>
      </c>
      <c r="H57">
        <v>66.666666666666671</v>
      </c>
    </row>
    <row r="58" spans="1:8" x14ac:dyDescent="0.25">
      <c r="A58" t="s">
        <v>16</v>
      </c>
      <c r="B58" s="2">
        <v>1</v>
      </c>
      <c r="C58" s="2">
        <v>1</v>
      </c>
      <c r="D58" s="1">
        <v>10</v>
      </c>
      <c r="E58">
        <v>5</v>
      </c>
      <c r="F58" t="s">
        <v>32</v>
      </c>
      <c r="G58">
        <v>7304</v>
      </c>
      <c r="H58">
        <v>49.833333333333336</v>
      </c>
    </row>
    <row r="59" spans="1:8" x14ac:dyDescent="0.25">
      <c r="A59" t="s">
        <v>16</v>
      </c>
      <c r="B59" s="3" t="s">
        <v>22</v>
      </c>
      <c r="C59" t="s">
        <v>10</v>
      </c>
      <c r="D59">
        <v>2</v>
      </c>
      <c r="E59">
        <f t="shared" ref="E59:E73" si="3">(D59*8+(10-D59)*2)/10</f>
        <v>3.2</v>
      </c>
      <c r="F59" t="s">
        <v>18</v>
      </c>
      <c r="G59">
        <v>7304</v>
      </c>
      <c r="H59">
        <v>39.833333333333336</v>
      </c>
    </row>
    <row r="60" spans="1:8" x14ac:dyDescent="0.25">
      <c r="A60" t="s">
        <v>16</v>
      </c>
      <c r="B60" s="3" t="s">
        <v>22</v>
      </c>
      <c r="C60" t="s">
        <v>10</v>
      </c>
      <c r="D60">
        <v>2</v>
      </c>
      <c r="E60">
        <f t="shared" si="3"/>
        <v>3.2</v>
      </c>
      <c r="F60" t="s">
        <v>19</v>
      </c>
      <c r="G60">
        <v>7304</v>
      </c>
      <c r="H60">
        <v>62</v>
      </c>
    </row>
    <row r="61" spans="1:8" x14ac:dyDescent="0.25">
      <c r="A61" t="s">
        <v>17</v>
      </c>
      <c r="B61" s="3" t="s">
        <v>22</v>
      </c>
      <c r="C61" t="s">
        <v>10</v>
      </c>
      <c r="D61">
        <v>2</v>
      </c>
      <c r="E61">
        <f t="shared" si="3"/>
        <v>3.2</v>
      </c>
      <c r="F61" t="s">
        <v>32</v>
      </c>
      <c r="G61">
        <v>7304</v>
      </c>
      <c r="H61">
        <v>50</v>
      </c>
    </row>
    <row r="62" spans="1:8" x14ac:dyDescent="0.25">
      <c r="A62" t="s">
        <v>16</v>
      </c>
      <c r="B62" s="3" t="s">
        <v>24</v>
      </c>
      <c r="C62" t="s">
        <v>12</v>
      </c>
      <c r="D62">
        <v>4</v>
      </c>
      <c r="E62">
        <f t="shared" si="3"/>
        <v>4.4000000000000004</v>
      </c>
      <c r="F62" t="s">
        <v>18</v>
      </c>
      <c r="G62">
        <v>7304</v>
      </c>
      <c r="H62">
        <v>43.5</v>
      </c>
    </row>
    <row r="63" spans="1:8" x14ac:dyDescent="0.25">
      <c r="A63" t="s">
        <v>16</v>
      </c>
      <c r="B63" s="3" t="s">
        <v>24</v>
      </c>
      <c r="C63" t="s">
        <v>12</v>
      </c>
      <c r="D63">
        <v>4</v>
      </c>
      <c r="E63">
        <f t="shared" si="3"/>
        <v>4.4000000000000004</v>
      </c>
      <c r="F63" t="s">
        <v>19</v>
      </c>
      <c r="G63">
        <v>7304</v>
      </c>
      <c r="H63">
        <v>50</v>
      </c>
    </row>
    <row r="64" spans="1:8" x14ac:dyDescent="0.25">
      <c r="A64" t="s">
        <v>17</v>
      </c>
      <c r="B64" s="3" t="s">
        <v>24</v>
      </c>
      <c r="C64" t="s">
        <v>12</v>
      </c>
      <c r="D64">
        <v>4</v>
      </c>
      <c r="E64">
        <f t="shared" si="3"/>
        <v>4.4000000000000004</v>
      </c>
      <c r="F64" t="s">
        <v>32</v>
      </c>
      <c r="G64">
        <v>7304</v>
      </c>
      <c r="H64">
        <v>49.833333333333336</v>
      </c>
    </row>
    <row r="65" spans="1:8" x14ac:dyDescent="0.25">
      <c r="A65" t="s">
        <v>16</v>
      </c>
      <c r="B65" s="3" t="s">
        <v>26</v>
      </c>
      <c r="C65" t="s">
        <v>8</v>
      </c>
      <c r="D65">
        <v>5</v>
      </c>
      <c r="E65">
        <f t="shared" si="3"/>
        <v>5</v>
      </c>
      <c r="F65" t="s">
        <v>18</v>
      </c>
      <c r="G65">
        <v>7304</v>
      </c>
      <c r="H65">
        <v>50.166666666666664</v>
      </c>
    </row>
    <row r="66" spans="1:8" x14ac:dyDescent="0.25">
      <c r="A66" t="s">
        <v>16</v>
      </c>
      <c r="B66" s="3" t="s">
        <v>26</v>
      </c>
      <c r="C66" t="s">
        <v>8</v>
      </c>
      <c r="D66">
        <v>5</v>
      </c>
      <c r="E66">
        <f t="shared" si="3"/>
        <v>5</v>
      </c>
      <c r="F66" t="s">
        <v>19</v>
      </c>
      <c r="G66">
        <v>7304</v>
      </c>
      <c r="H66">
        <v>53.5</v>
      </c>
    </row>
    <row r="67" spans="1:8" x14ac:dyDescent="0.25">
      <c r="A67" t="s">
        <v>17</v>
      </c>
      <c r="B67" s="3" t="s">
        <v>26</v>
      </c>
      <c r="C67" t="s">
        <v>8</v>
      </c>
      <c r="D67">
        <v>5</v>
      </c>
      <c r="E67">
        <f t="shared" si="3"/>
        <v>5</v>
      </c>
      <c r="F67" t="s">
        <v>32</v>
      </c>
      <c r="G67">
        <v>7304</v>
      </c>
      <c r="H67">
        <v>45.833333333333336</v>
      </c>
    </row>
    <row r="68" spans="1:8" x14ac:dyDescent="0.25">
      <c r="A68" t="s">
        <v>16</v>
      </c>
      <c r="B68" s="3" t="s">
        <v>28</v>
      </c>
      <c r="C68" t="s">
        <v>6</v>
      </c>
      <c r="D68">
        <v>6</v>
      </c>
      <c r="E68">
        <f t="shared" si="3"/>
        <v>5.6</v>
      </c>
      <c r="F68" t="s">
        <v>18</v>
      </c>
      <c r="G68">
        <v>7304</v>
      </c>
      <c r="H68">
        <v>49.833333333333336</v>
      </c>
    </row>
    <row r="69" spans="1:8" x14ac:dyDescent="0.25">
      <c r="A69" t="s">
        <v>16</v>
      </c>
      <c r="B69" s="3" t="s">
        <v>28</v>
      </c>
      <c r="C69" t="s">
        <v>6</v>
      </c>
      <c r="D69">
        <v>6</v>
      </c>
      <c r="E69">
        <f t="shared" si="3"/>
        <v>5.6</v>
      </c>
      <c r="F69" t="s">
        <v>19</v>
      </c>
      <c r="G69">
        <v>7304</v>
      </c>
      <c r="H69">
        <v>55.666666666666664</v>
      </c>
    </row>
    <row r="70" spans="1:8" x14ac:dyDescent="0.25">
      <c r="A70" t="s">
        <v>17</v>
      </c>
      <c r="B70" s="3" t="s">
        <v>28</v>
      </c>
      <c r="C70" t="s">
        <v>6</v>
      </c>
      <c r="D70">
        <v>6</v>
      </c>
      <c r="E70">
        <f t="shared" si="3"/>
        <v>5.6</v>
      </c>
      <c r="F70" t="s">
        <v>32</v>
      </c>
      <c r="G70">
        <v>7304</v>
      </c>
      <c r="H70">
        <v>50</v>
      </c>
    </row>
    <row r="71" spans="1:8" x14ac:dyDescent="0.25">
      <c r="A71" t="s">
        <v>16</v>
      </c>
      <c r="B71" s="3" t="s">
        <v>30</v>
      </c>
      <c r="C71" t="s">
        <v>3</v>
      </c>
      <c r="D71">
        <v>8</v>
      </c>
      <c r="E71">
        <f t="shared" si="3"/>
        <v>6.8</v>
      </c>
      <c r="F71" t="s">
        <v>18</v>
      </c>
      <c r="G71">
        <v>7304</v>
      </c>
      <c r="H71">
        <v>42.5</v>
      </c>
    </row>
    <row r="72" spans="1:8" x14ac:dyDescent="0.25">
      <c r="A72" t="s">
        <v>16</v>
      </c>
      <c r="B72" s="3" t="s">
        <v>30</v>
      </c>
      <c r="C72" t="s">
        <v>3</v>
      </c>
      <c r="D72">
        <v>8</v>
      </c>
      <c r="E72">
        <f t="shared" si="3"/>
        <v>6.8</v>
      </c>
      <c r="F72" t="s">
        <v>19</v>
      </c>
      <c r="G72">
        <v>7304</v>
      </c>
      <c r="H72">
        <v>51.666666666666664</v>
      </c>
    </row>
    <row r="73" spans="1:8" x14ac:dyDescent="0.25">
      <c r="A73" t="s">
        <v>17</v>
      </c>
      <c r="B73" s="3" t="s">
        <v>30</v>
      </c>
      <c r="C73" t="s">
        <v>3</v>
      </c>
      <c r="D73">
        <v>8</v>
      </c>
      <c r="E73">
        <f t="shared" si="3"/>
        <v>6.8</v>
      </c>
      <c r="F73" t="s">
        <v>32</v>
      </c>
      <c r="G73">
        <v>7304</v>
      </c>
      <c r="H73">
        <v>50</v>
      </c>
    </row>
    <row r="74" spans="1:8" x14ac:dyDescent="0.25">
      <c r="A74" t="s">
        <v>16</v>
      </c>
      <c r="B74" s="2">
        <v>1</v>
      </c>
      <c r="C74" s="2">
        <v>1</v>
      </c>
      <c r="D74" s="1">
        <v>10</v>
      </c>
      <c r="E74">
        <v>2</v>
      </c>
      <c r="F74" t="s">
        <v>18</v>
      </c>
      <c r="G74">
        <v>7305</v>
      </c>
      <c r="H74">
        <v>30.166666666666668</v>
      </c>
    </row>
    <row r="75" spans="1:8" x14ac:dyDescent="0.25">
      <c r="A75" t="s">
        <v>16</v>
      </c>
      <c r="B75" s="2">
        <v>1</v>
      </c>
      <c r="C75" s="2">
        <v>1</v>
      </c>
      <c r="D75" s="1">
        <v>10</v>
      </c>
      <c r="E75">
        <v>8</v>
      </c>
      <c r="F75" t="s">
        <v>19</v>
      </c>
      <c r="G75">
        <v>7305</v>
      </c>
      <c r="H75">
        <v>76.599999999999994</v>
      </c>
    </row>
    <row r="76" spans="1:8" x14ac:dyDescent="0.25">
      <c r="A76" t="s">
        <v>16</v>
      </c>
      <c r="B76" s="2">
        <v>1</v>
      </c>
      <c r="C76" s="2">
        <v>1</v>
      </c>
      <c r="D76" s="1">
        <v>10</v>
      </c>
      <c r="E76">
        <v>5</v>
      </c>
      <c r="F76" t="s">
        <v>32</v>
      </c>
      <c r="G76">
        <v>7305</v>
      </c>
      <c r="H76">
        <v>47.333333333333336</v>
      </c>
    </row>
    <row r="77" spans="1:8" x14ac:dyDescent="0.25">
      <c r="A77" t="s">
        <v>16</v>
      </c>
      <c r="B77" s="3" t="s">
        <v>22</v>
      </c>
      <c r="C77" t="s">
        <v>10</v>
      </c>
      <c r="D77">
        <v>2</v>
      </c>
      <c r="E77">
        <f t="shared" ref="E77:E91" si="4">(D77*8+(10-D77)*2)/10</f>
        <v>3.2</v>
      </c>
      <c r="F77" t="s">
        <v>18</v>
      </c>
      <c r="G77">
        <v>7305</v>
      </c>
      <c r="H77">
        <v>30.166666666666668</v>
      </c>
    </row>
    <row r="78" spans="1:8" x14ac:dyDescent="0.25">
      <c r="A78" t="s">
        <v>16</v>
      </c>
      <c r="B78" s="3" t="s">
        <v>22</v>
      </c>
      <c r="C78" t="s">
        <v>10</v>
      </c>
      <c r="D78">
        <v>2</v>
      </c>
      <c r="E78">
        <f t="shared" si="4"/>
        <v>3.2</v>
      </c>
      <c r="F78" t="s">
        <v>19</v>
      </c>
      <c r="G78">
        <v>7305</v>
      </c>
      <c r="H78">
        <v>64.5</v>
      </c>
    </row>
    <row r="79" spans="1:8" x14ac:dyDescent="0.25">
      <c r="A79" t="s">
        <v>17</v>
      </c>
      <c r="B79" s="3" t="s">
        <v>22</v>
      </c>
      <c r="C79" t="s">
        <v>10</v>
      </c>
      <c r="D79">
        <v>2</v>
      </c>
      <c r="E79">
        <f t="shared" si="4"/>
        <v>3.2</v>
      </c>
      <c r="F79" t="s">
        <v>32</v>
      </c>
      <c r="G79">
        <v>7305</v>
      </c>
      <c r="H79">
        <v>33.833333333333336</v>
      </c>
    </row>
    <row r="80" spans="1:8" x14ac:dyDescent="0.25">
      <c r="A80" t="s">
        <v>16</v>
      </c>
      <c r="B80" s="3" t="s">
        <v>24</v>
      </c>
      <c r="C80" t="s">
        <v>12</v>
      </c>
      <c r="D80">
        <v>4</v>
      </c>
      <c r="E80">
        <f t="shared" si="4"/>
        <v>4.4000000000000004</v>
      </c>
      <c r="F80" t="s">
        <v>18</v>
      </c>
      <c r="G80">
        <v>7305</v>
      </c>
      <c r="H80">
        <v>28.166666666666668</v>
      </c>
    </row>
    <row r="81" spans="1:8" x14ac:dyDescent="0.25">
      <c r="A81" t="s">
        <v>16</v>
      </c>
      <c r="B81" s="3" t="s">
        <v>24</v>
      </c>
      <c r="C81" t="s">
        <v>12</v>
      </c>
      <c r="D81">
        <v>4</v>
      </c>
      <c r="E81">
        <f t="shared" si="4"/>
        <v>4.4000000000000004</v>
      </c>
      <c r="F81" t="s">
        <v>19</v>
      </c>
      <c r="G81">
        <v>7305</v>
      </c>
      <c r="H81">
        <v>62.333333333333336</v>
      </c>
    </row>
    <row r="82" spans="1:8" x14ac:dyDescent="0.25">
      <c r="A82" t="s">
        <v>17</v>
      </c>
      <c r="B82" s="3" t="s">
        <v>24</v>
      </c>
      <c r="C82" t="s">
        <v>12</v>
      </c>
      <c r="D82">
        <v>4</v>
      </c>
      <c r="E82">
        <f t="shared" si="4"/>
        <v>4.4000000000000004</v>
      </c>
      <c r="F82" t="s">
        <v>32</v>
      </c>
      <c r="G82">
        <v>7305</v>
      </c>
      <c r="H82">
        <v>38.166666666666664</v>
      </c>
    </row>
    <row r="83" spans="1:8" x14ac:dyDescent="0.25">
      <c r="A83" t="s">
        <v>16</v>
      </c>
      <c r="B83" s="3" t="s">
        <v>26</v>
      </c>
      <c r="C83" t="s">
        <v>8</v>
      </c>
      <c r="D83">
        <v>5</v>
      </c>
      <c r="E83">
        <f t="shared" si="4"/>
        <v>5</v>
      </c>
      <c r="F83" t="s">
        <v>18</v>
      </c>
      <c r="G83">
        <v>7305</v>
      </c>
      <c r="H83">
        <v>29.333333333333332</v>
      </c>
    </row>
    <row r="84" spans="1:8" x14ac:dyDescent="0.25">
      <c r="A84" t="s">
        <v>16</v>
      </c>
      <c r="B84" s="3" t="s">
        <v>26</v>
      </c>
      <c r="C84" t="s">
        <v>8</v>
      </c>
      <c r="D84">
        <v>5</v>
      </c>
      <c r="E84">
        <f t="shared" si="4"/>
        <v>5</v>
      </c>
      <c r="F84" t="s">
        <v>19</v>
      </c>
      <c r="G84">
        <v>7305</v>
      </c>
      <c r="H84">
        <v>60.833333333333336</v>
      </c>
    </row>
    <row r="85" spans="1:8" x14ac:dyDescent="0.25">
      <c r="A85" t="s">
        <v>17</v>
      </c>
      <c r="B85" s="3" t="s">
        <v>26</v>
      </c>
      <c r="C85" t="s">
        <v>8</v>
      </c>
      <c r="D85">
        <v>5</v>
      </c>
      <c r="E85">
        <f t="shared" si="4"/>
        <v>5</v>
      </c>
      <c r="F85" t="s">
        <v>32</v>
      </c>
      <c r="G85">
        <v>7305</v>
      </c>
      <c r="H85">
        <v>40.333333333333336</v>
      </c>
    </row>
    <row r="86" spans="1:8" x14ac:dyDescent="0.25">
      <c r="A86" t="s">
        <v>16</v>
      </c>
      <c r="B86" s="3" t="s">
        <v>28</v>
      </c>
      <c r="C86" t="s">
        <v>6</v>
      </c>
      <c r="D86">
        <v>6</v>
      </c>
      <c r="E86">
        <f t="shared" si="4"/>
        <v>5.6</v>
      </c>
      <c r="F86" t="s">
        <v>18</v>
      </c>
      <c r="G86">
        <v>7305</v>
      </c>
      <c r="H86">
        <v>31</v>
      </c>
    </row>
    <row r="87" spans="1:8" x14ac:dyDescent="0.25">
      <c r="A87" t="s">
        <v>16</v>
      </c>
      <c r="B87" s="3" t="s">
        <v>28</v>
      </c>
      <c r="C87" t="s">
        <v>6</v>
      </c>
      <c r="D87">
        <v>6</v>
      </c>
      <c r="E87">
        <f t="shared" si="4"/>
        <v>5.6</v>
      </c>
      <c r="F87" t="s">
        <v>19</v>
      </c>
      <c r="G87">
        <v>7305</v>
      </c>
      <c r="H87">
        <v>62.6</v>
      </c>
    </row>
    <row r="88" spans="1:8" x14ac:dyDescent="0.25">
      <c r="A88" t="s">
        <v>17</v>
      </c>
      <c r="B88" s="3" t="s">
        <v>28</v>
      </c>
      <c r="C88" t="s">
        <v>6</v>
      </c>
      <c r="D88">
        <v>6</v>
      </c>
      <c r="E88">
        <f t="shared" si="4"/>
        <v>5.6</v>
      </c>
      <c r="F88" t="s">
        <v>32</v>
      </c>
      <c r="G88">
        <v>7305</v>
      </c>
      <c r="H88">
        <v>39.5</v>
      </c>
    </row>
    <row r="89" spans="1:8" x14ac:dyDescent="0.25">
      <c r="A89" t="s">
        <v>16</v>
      </c>
      <c r="B89" s="3" t="s">
        <v>30</v>
      </c>
      <c r="C89" t="s">
        <v>3</v>
      </c>
      <c r="D89">
        <v>8</v>
      </c>
      <c r="E89">
        <f t="shared" si="4"/>
        <v>6.8</v>
      </c>
      <c r="F89" t="s">
        <v>18</v>
      </c>
      <c r="G89">
        <v>7305</v>
      </c>
      <c r="H89">
        <v>29.166666666666668</v>
      </c>
    </row>
    <row r="90" spans="1:8" x14ac:dyDescent="0.25">
      <c r="A90" t="s">
        <v>16</v>
      </c>
      <c r="B90" s="3" t="s">
        <v>30</v>
      </c>
      <c r="C90" t="s">
        <v>3</v>
      </c>
      <c r="D90">
        <v>8</v>
      </c>
      <c r="E90">
        <f t="shared" si="4"/>
        <v>6.8</v>
      </c>
      <c r="F90" t="s">
        <v>19</v>
      </c>
      <c r="G90">
        <v>7305</v>
      </c>
      <c r="H90">
        <v>61.5</v>
      </c>
    </row>
    <row r="91" spans="1:8" x14ac:dyDescent="0.25">
      <c r="A91" t="s">
        <v>17</v>
      </c>
      <c r="B91" s="3" t="s">
        <v>30</v>
      </c>
      <c r="C91" t="s">
        <v>3</v>
      </c>
      <c r="D91">
        <v>8</v>
      </c>
      <c r="E91">
        <f t="shared" si="4"/>
        <v>6.8</v>
      </c>
      <c r="F91" t="s">
        <v>32</v>
      </c>
      <c r="G91">
        <v>7305</v>
      </c>
      <c r="H91">
        <v>38</v>
      </c>
    </row>
    <row r="92" spans="1:8" x14ac:dyDescent="0.25">
      <c r="A92" t="s">
        <v>16</v>
      </c>
      <c r="B92" s="2">
        <v>1</v>
      </c>
      <c r="C92" s="2">
        <v>1</v>
      </c>
      <c r="D92" s="1">
        <v>10</v>
      </c>
      <c r="E92">
        <v>2</v>
      </c>
      <c r="F92" t="s">
        <v>18</v>
      </c>
      <c r="G92">
        <v>7306</v>
      </c>
      <c r="H92">
        <v>46.5</v>
      </c>
    </row>
    <row r="93" spans="1:8" x14ac:dyDescent="0.25">
      <c r="A93" t="s">
        <v>16</v>
      </c>
      <c r="B93" s="2">
        <v>1</v>
      </c>
      <c r="C93" s="2">
        <v>1</v>
      </c>
      <c r="D93" s="1">
        <v>10</v>
      </c>
      <c r="E93">
        <v>8</v>
      </c>
      <c r="F93" t="s">
        <v>19</v>
      </c>
      <c r="G93">
        <v>7306</v>
      </c>
      <c r="H93">
        <v>77.333333333333329</v>
      </c>
    </row>
    <row r="94" spans="1:8" x14ac:dyDescent="0.25">
      <c r="A94" t="s">
        <v>16</v>
      </c>
      <c r="B94" s="2">
        <v>1</v>
      </c>
      <c r="C94" s="2">
        <v>1</v>
      </c>
      <c r="D94" s="1">
        <v>10</v>
      </c>
      <c r="E94">
        <v>5</v>
      </c>
      <c r="F94" t="s">
        <v>32</v>
      </c>
      <c r="G94">
        <v>7306</v>
      </c>
      <c r="H94">
        <v>50.166666666666664</v>
      </c>
    </row>
    <row r="95" spans="1:8" x14ac:dyDescent="0.25">
      <c r="A95" t="s">
        <v>16</v>
      </c>
      <c r="B95" s="3" t="s">
        <v>22</v>
      </c>
      <c r="C95" t="s">
        <v>10</v>
      </c>
      <c r="D95">
        <v>2</v>
      </c>
      <c r="E95">
        <f t="shared" ref="E95:E109" si="5">(D95*8+(10-D95)*2)/10</f>
        <v>3.2</v>
      </c>
      <c r="F95" t="s">
        <v>18</v>
      </c>
      <c r="G95">
        <v>7306</v>
      </c>
      <c r="H95">
        <v>50</v>
      </c>
    </row>
    <row r="96" spans="1:8" x14ac:dyDescent="0.25">
      <c r="A96" t="s">
        <v>16</v>
      </c>
      <c r="B96" s="3" t="s">
        <v>22</v>
      </c>
      <c r="C96" t="s">
        <v>10</v>
      </c>
      <c r="D96">
        <v>2</v>
      </c>
      <c r="E96">
        <f t="shared" si="5"/>
        <v>3.2</v>
      </c>
      <c r="F96" t="s">
        <v>19</v>
      </c>
      <c r="G96">
        <v>7306</v>
      </c>
      <c r="H96">
        <v>56.666666666666664</v>
      </c>
    </row>
    <row r="97" spans="1:8" x14ac:dyDescent="0.25">
      <c r="A97" t="s">
        <v>17</v>
      </c>
      <c r="B97" s="3" t="s">
        <v>22</v>
      </c>
      <c r="C97" t="s">
        <v>10</v>
      </c>
      <c r="D97">
        <v>2</v>
      </c>
      <c r="E97">
        <f t="shared" si="5"/>
        <v>3.2</v>
      </c>
      <c r="F97" t="s">
        <v>32</v>
      </c>
      <c r="G97">
        <v>7306</v>
      </c>
      <c r="H97">
        <v>49</v>
      </c>
    </row>
    <row r="98" spans="1:8" x14ac:dyDescent="0.25">
      <c r="A98" t="s">
        <v>16</v>
      </c>
      <c r="B98" s="3" t="s">
        <v>24</v>
      </c>
      <c r="C98" t="s">
        <v>12</v>
      </c>
      <c r="D98">
        <v>4</v>
      </c>
      <c r="E98">
        <f t="shared" si="5"/>
        <v>4.4000000000000004</v>
      </c>
      <c r="F98" t="s">
        <v>18</v>
      </c>
      <c r="G98">
        <v>7306</v>
      </c>
      <c r="H98">
        <v>50</v>
      </c>
    </row>
    <row r="99" spans="1:8" x14ac:dyDescent="0.25">
      <c r="A99" t="s">
        <v>16</v>
      </c>
      <c r="B99" s="3" t="s">
        <v>24</v>
      </c>
      <c r="C99" t="s">
        <v>12</v>
      </c>
      <c r="D99">
        <v>4</v>
      </c>
      <c r="E99">
        <f t="shared" si="5"/>
        <v>4.4000000000000004</v>
      </c>
      <c r="F99" t="s">
        <v>19</v>
      </c>
      <c r="G99">
        <v>7306</v>
      </c>
      <c r="H99">
        <v>55.833333333333336</v>
      </c>
    </row>
    <row r="100" spans="1:8" x14ac:dyDescent="0.25">
      <c r="A100" t="s">
        <v>17</v>
      </c>
      <c r="B100" s="3" t="s">
        <v>24</v>
      </c>
      <c r="C100" t="s">
        <v>12</v>
      </c>
      <c r="D100">
        <v>4</v>
      </c>
      <c r="E100">
        <f t="shared" si="5"/>
        <v>4.4000000000000004</v>
      </c>
      <c r="F100" t="s">
        <v>32</v>
      </c>
      <c r="G100">
        <v>7306</v>
      </c>
      <c r="H100">
        <v>49</v>
      </c>
    </row>
    <row r="101" spans="1:8" x14ac:dyDescent="0.25">
      <c r="A101" t="s">
        <v>16</v>
      </c>
      <c r="B101" s="3" t="s">
        <v>26</v>
      </c>
      <c r="C101" t="s">
        <v>8</v>
      </c>
      <c r="D101">
        <v>5</v>
      </c>
      <c r="E101">
        <f t="shared" si="5"/>
        <v>5</v>
      </c>
      <c r="F101" t="s">
        <v>18</v>
      </c>
      <c r="G101">
        <v>7306</v>
      </c>
      <c r="H101">
        <v>48.166666666666664</v>
      </c>
    </row>
    <row r="102" spans="1:8" x14ac:dyDescent="0.25">
      <c r="A102" t="s">
        <v>16</v>
      </c>
      <c r="B102" s="3" t="s">
        <v>26</v>
      </c>
      <c r="C102" t="s">
        <v>8</v>
      </c>
      <c r="D102">
        <v>5</v>
      </c>
      <c r="E102">
        <f t="shared" si="5"/>
        <v>5</v>
      </c>
      <c r="F102" t="s">
        <v>19</v>
      </c>
      <c r="G102">
        <v>7306</v>
      </c>
      <c r="H102">
        <v>59.333333333333336</v>
      </c>
    </row>
    <row r="103" spans="1:8" x14ac:dyDescent="0.25">
      <c r="A103" t="s">
        <v>17</v>
      </c>
      <c r="B103" s="3" t="s">
        <v>26</v>
      </c>
      <c r="C103" t="s">
        <v>8</v>
      </c>
      <c r="D103">
        <v>5</v>
      </c>
      <c r="E103">
        <f t="shared" si="5"/>
        <v>5</v>
      </c>
      <c r="F103" t="s">
        <v>32</v>
      </c>
      <c r="G103">
        <v>7306</v>
      </c>
      <c r="H103">
        <v>50</v>
      </c>
    </row>
    <row r="104" spans="1:8" x14ac:dyDescent="0.25">
      <c r="A104" t="s">
        <v>16</v>
      </c>
      <c r="B104" s="3" t="s">
        <v>28</v>
      </c>
      <c r="C104" t="s">
        <v>6</v>
      </c>
      <c r="D104">
        <v>6</v>
      </c>
      <c r="E104">
        <f t="shared" si="5"/>
        <v>5.6</v>
      </c>
      <c r="F104" t="s">
        <v>18</v>
      </c>
      <c r="G104">
        <v>7306</v>
      </c>
      <c r="H104">
        <v>53.333333333333336</v>
      </c>
    </row>
    <row r="105" spans="1:8" x14ac:dyDescent="0.25">
      <c r="A105" t="s">
        <v>16</v>
      </c>
      <c r="B105" s="3" t="s">
        <v>28</v>
      </c>
      <c r="C105" t="s">
        <v>6</v>
      </c>
      <c r="D105">
        <v>6</v>
      </c>
      <c r="E105">
        <f t="shared" si="5"/>
        <v>5.6</v>
      </c>
      <c r="F105" t="s">
        <v>19</v>
      </c>
      <c r="G105">
        <v>7306</v>
      </c>
      <c r="H105">
        <v>55.5</v>
      </c>
    </row>
    <row r="106" spans="1:8" x14ac:dyDescent="0.25">
      <c r="A106" t="s">
        <v>17</v>
      </c>
      <c r="B106" s="3" t="s">
        <v>28</v>
      </c>
      <c r="C106" t="s">
        <v>6</v>
      </c>
      <c r="D106">
        <v>6</v>
      </c>
      <c r="E106">
        <f t="shared" si="5"/>
        <v>5.6</v>
      </c>
      <c r="F106" t="s">
        <v>32</v>
      </c>
      <c r="G106">
        <v>7306</v>
      </c>
      <c r="H106">
        <v>49.166666666666664</v>
      </c>
    </row>
    <row r="107" spans="1:8" x14ac:dyDescent="0.25">
      <c r="A107" t="s">
        <v>16</v>
      </c>
      <c r="B107" s="3" t="s">
        <v>30</v>
      </c>
      <c r="C107" t="s">
        <v>3</v>
      </c>
      <c r="D107">
        <v>8</v>
      </c>
      <c r="E107">
        <f t="shared" si="5"/>
        <v>6.8</v>
      </c>
      <c r="F107" t="s">
        <v>18</v>
      </c>
      <c r="G107">
        <v>7306</v>
      </c>
      <c r="H107">
        <v>70</v>
      </c>
    </row>
    <row r="108" spans="1:8" x14ac:dyDescent="0.25">
      <c r="A108" t="s">
        <v>16</v>
      </c>
      <c r="B108" s="3" t="s">
        <v>30</v>
      </c>
      <c r="C108" t="s">
        <v>3</v>
      </c>
      <c r="D108">
        <v>8</v>
      </c>
      <c r="E108">
        <f t="shared" si="5"/>
        <v>6.8</v>
      </c>
      <c r="F108" t="s">
        <v>19</v>
      </c>
      <c r="G108">
        <v>7306</v>
      </c>
      <c r="H108">
        <v>74.166666666666671</v>
      </c>
    </row>
    <row r="109" spans="1:8" x14ac:dyDescent="0.25">
      <c r="A109" t="s">
        <v>17</v>
      </c>
      <c r="B109" s="3" t="s">
        <v>30</v>
      </c>
      <c r="C109" t="s">
        <v>3</v>
      </c>
      <c r="D109">
        <v>8</v>
      </c>
      <c r="E109">
        <f t="shared" si="5"/>
        <v>6.8</v>
      </c>
      <c r="F109" t="s">
        <v>32</v>
      </c>
      <c r="G109">
        <v>7306</v>
      </c>
      <c r="H109">
        <v>70.2</v>
      </c>
    </row>
    <row r="110" spans="1:8" x14ac:dyDescent="0.25">
      <c r="A110" t="s">
        <v>16</v>
      </c>
      <c r="B110" s="2">
        <v>1</v>
      </c>
      <c r="C110" s="2">
        <v>1</v>
      </c>
      <c r="D110" s="1">
        <v>10</v>
      </c>
      <c r="E110">
        <v>2</v>
      </c>
      <c r="F110" t="s">
        <v>18</v>
      </c>
      <c r="G110">
        <v>7307</v>
      </c>
      <c r="H110">
        <v>20</v>
      </c>
    </row>
    <row r="111" spans="1:8" x14ac:dyDescent="0.25">
      <c r="A111" t="s">
        <v>16</v>
      </c>
      <c r="B111" s="2">
        <v>1</v>
      </c>
      <c r="C111" s="2">
        <v>1</v>
      </c>
      <c r="D111" s="1">
        <v>10</v>
      </c>
      <c r="E111">
        <v>8</v>
      </c>
      <c r="F111" t="s">
        <v>19</v>
      </c>
      <c r="G111">
        <v>7307</v>
      </c>
      <c r="H111">
        <v>34.166666666666664</v>
      </c>
    </row>
    <row r="112" spans="1:8" x14ac:dyDescent="0.25">
      <c r="A112" t="s">
        <v>16</v>
      </c>
      <c r="B112" s="2">
        <v>1</v>
      </c>
      <c r="C112" s="2">
        <v>1</v>
      </c>
      <c r="D112" s="1">
        <v>10</v>
      </c>
      <c r="E112">
        <v>5</v>
      </c>
      <c r="F112" t="s">
        <v>32</v>
      </c>
      <c r="G112">
        <v>7307</v>
      </c>
      <c r="H112">
        <v>30.833333333333332</v>
      </c>
    </row>
    <row r="113" spans="1:8" x14ac:dyDescent="0.25">
      <c r="A113" t="s">
        <v>16</v>
      </c>
      <c r="B113" s="3" t="s">
        <v>22</v>
      </c>
      <c r="C113" t="s">
        <v>10</v>
      </c>
      <c r="D113">
        <v>2</v>
      </c>
      <c r="E113">
        <f t="shared" ref="E113:E127" si="6">(D113*8+(10-D113)*2)/10</f>
        <v>3.2</v>
      </c>
      <c r="F113" t="s">
        <v>18</v>
      </c>
      <c r="G113">
        <v>7307</v>
      </c>
      <c r="H113">
        <v>19.833333333333332</v>
      </c>
    </row>
    <row r="114" spans="1:8" x14ac:dyDescent="0.25">
      <c r="A114" t="s">
        <v>16</v>
      </c>
      <c r="B114" s="3" t="s">
        <v>22</v>
      </c>
      <c r="C114" t="s">
        <v>10</v>
      </c>
      <c r="D114">
        <v>2</v>
      </c>
      <c r="E114">
        <f t="shared" si="6"/>
        <v>3.2</v>
      </c>
      <c r="F114" t="s">
        <v>19</v>
      </c>
      <c r="G114">
        <v>7307</v>
      </c>
      <c r="H114">
        <v>33.333333333333336</v>
      </c>
    </row>
    <row r="115" spans="1:8" x14ac:dyDescent="0.25">
      <c r="A115" t="s">
        <v>17</v>
      </c>
      <c r="B115" s="3" t="s">
        <v>22</v>
      </c>
      <c r="C115" t="s">
        <v>10</v>
      </c>
      <c r="D115">
        <v>2</v>
      </c>
      <c r="E115">
        <f t="shared" si="6"/>
        <v>3.2</v>
      </c>
      <c r="F115" t="s">
        <v>32</v>
      </c>
      <c r="G115">
        <v>7307</v>
      </c>
      <c r="H115">
        <v>23.333333333333332</v>
      </c>
    </row>
    <row r="116" spans="1:8" x14ac:dyDescent="0.25">
      <c r="A116" t="s">
        <v>16</v>
      </c>
      <c r="B116" s="3" t="s">
        <v>24</v>
      </c>
      <c r="C116" t="s">
        <v>12</v>
      </c>
      <c r="D116">
        <v>4</v>
      </c>
      <c r="E116">
        <f t="shared" si="6"/>
        <v>4.4000000000000004</v>
      </c>
      <c r="F116" t="s">
        <v>18</v>
      </c>
      <c r="G116">
        <v>7307</v>
      </c>
      <c r="H116">
        <v>20</v>
      </c>
    </row>
    <row r="117" spans="1:8" x14ac:dyDescent="0.25">
      <c r="A117" t="s">
        <v>16</v>
      </c>
      <c r="B117" s="3" t="s">
        <v>24</v>
      </c>
      <c r="C117" t="s">
        <v>12</v>
      </c>
      <c r="D117">
        <v>4</v>
      </c>
      <c r="E117">
        <f t="shared" si="6"/>
        <v>4.4000000000000004</v>
      </c>
      <c r="F117" t="s">
        <v>19</v>
      </c>
      <c r="G117">
        <v>7307</v>
      </c>
      <c r="H117">
        <v>33.333333333333336</v>
      </c>
    </row>
    <row r="118" spans="1:8" x14ac:dyDescent="0.25">
      <c r="A118" t="s">
        <v>17</v>
      </c>
      <c r="B118" s="3" t="s">
        <v>24</v>
      </c>
      <c r="C118" t="s">
        <v>12</v>
      </c>
      <c r="D118">
        <v>4</v>
      </c>
      <c r="E118">
        <f t="shared" si="6"/>
        <v>4.4000000000000004</v>
      </c>
      <c r="F118" t="s">
        <v>32</v>
      </c>
      <c r="G118">
        <v>7307</v>
      </c>
      <c r="H118">
        <v>24.166666666666668</v>
      </c>
    </row>
    <row r="119" spans="1:8" x14ac:dyDescent="0.25">
      <c r="A119" t="s">
        <v>16</v>
      </c>
      <c r="B119" s="3" t="s">
        <v>26</v>
      </c>
      <c r="C119" t="s">
        <v>8</v>
      </c>
      <c r="D119">
        <v>5</v>
      </c>
      <c r="E119">
        <f t="shared" si="6"/>
        <v>5</v>
      </c>
      <c r="F119" t="s">
        <v>18</v>
      </c>
      <c r="G119">
        <v>7307</v>
      </c>
      <c r="H119">
        <v>20</v>
      </c>
    </row>
    <row r="120" spans="1:8" x14ac:dyDescent="0.25">
      <c r="A120" t="s">
        <v>16</v>
      </c>
      <c r="B120" s="3" t="s">
        <v>26</v>
      </c>
      <c r="C120" t="s">
        <v>8</v>
      </c>
      <c r="D120">
        <v>5</v>
      </c>
      <c r="E120">
        <f t="shared" si="6"/>
        <v>5</v>
      </c>
      <c r="F120" t="s">
        <v>19</v>
      </c>
      <c r="G120">
        <v>7307</v>
      </c>
      <c r="H120">
        <v>30.833333333333332</v>
      </c>
    </row>
    <row r="121" spans="1:8" x14ac:dyDescent="0.25">
      <c r="A121" t="s">
        <v>17</v>
      </c>
      <c r="B121" s="3" t="s">
        <v>26</v>
      </c>
      <c r="C121" t="s">
        <v>8</v>
      </c>
      <c r="D121">
        <v>5</v>
      </c>
      <c r="E121">
        <f t="shared" si="6"/>
        <v>5</v>
      </c>
      <c r="F121" t="s">
        <v>32</v>
      </c>
      <c r="G121">
        <v>7307</v>
      </c>
      <c r="H121">
        <v>24</v>
      </c>
    </row>
    <row r="122" spans="1:8" x14ac:dyDescent="0.25">
      <c r="A122" t="s">
        <v>16</v>
      </c>
      <c r="B122" s="3" t="s">
        <v>28</v>
      </c>
      <c r="C122" t="s">
        <v>6</v>
      </c>
      <c r="D122">
        <v>6</v>
      </c>
      <c r="E122">
        <f t="shared" si="6"/>
        <v>5.6</v>
      </c>
      <c r="F122" t="s">
        <v>18</v>
      </c>
      <c r="G122">
        <v>7307</v>
      </c>
      <c r="H122">
        <v>20.833333333333332</v>
      </c>
    </row>
    <row r="123" spans="1:8" x14ac:dyDescent="0.25">
      <c r="A123" t="s">
        <v>16</v>
      </c>
      <c r="B123" s="3" t="s">
        <v>28</v>
      </c>
      <c r="C123" t="s">
        <v>6</v>
      </c>
      <c r="D123">
        <v>6</v>
      </c>
      <c r="E123">
        <f t="shared" si="6"/>
        <v>5.6</v>
      </c>
      <c r="F123" t="s">
        <v>19</v>
      </c>
      <c r="G123">
        <v>7307</v>
      </c>
      <c r="H123">
        <v>36.666666666666664</v>
      </c>
    </row>
    <row r="124" spans="1:8" x14ac:dyDescent="0.25">
      <c r="A124" t="s">
        <v>17</v>
      </c>
      <c r="B124" s="3" t="s">
        <v>28</v>
      </c>
      <c r="C124" t="s">
        <v>6</v>
      </c>
      <c r="D124">
        <v>6</v>
      </c>
      <c r="E124">
        <f t="shared" si="6"/>
        <v>5.6</v>
      </c>
      <c r="F124" t="s">
        <v>32</v>
      </c>
      <c r="G124">
        <v>7307</v>
      </c>
      <c r="H124">
        <v>26.666666666666668</v>
      </c>
    </row>
    <row r="125" spans="1:8" x14ac:dyDescent="0.25">
      <c r="A125" t="s">
        <v>16</v>
      </c>
      <c r="B125" s="3" t="s">
        <v>30</v>
      </c>
      <c r="C125" t="s">
        <v>3</v>
      </c>
      <c r="D125">
        <v>8</v>
      </c>
      <c r="E125">
        <f t="shared" si="6"/>
        <v>6.8</v>
      </c>
      <c r="F125" t="s">
        <v>18</v>
      </c>
      <c r="G125">
        <v>7307</v>
      </c>
      <c r="H125">
        <v>20.833333333333332</v>
      </c>
    </row>
    <row r="126" spans="1:8" x14ac:dyDescent="0.25">
      <c r="A126" t="s">
        <v>16</v>
      </c>
      <c r="B126" s="3" t="s">
        <v>30</v>
      </c>
      <c r="C126" t="s">
        <v>3</v>
      </c>
      <c r="D126">
        <v>8</v>
      </c>
      <c r="E126">
        <f t="shared" si="6"/>
        <v>6.8</v>
      </c>
      <c r="F126" t="s">
        <v>19</v>
      </c>
      <c r="G126">
        <v>7307</v>
      </c>
      <c r="H126">
        <v>31.666666666666668</v>
      </c>
    </row>
    <row r="127" spans="1:8" x14ac:dyDescent="0.25">
      <c r="A127" t="s">
        <v>17</v>
      </c>
      <c r="B127" s="3" t="s">
        <v>30</v>
      </c>
      <c r="C127" t="s">
        <v>3</v>
      </c>
      <c r="D127">
        <v>8</v>
      </c>
      <c r="E127">
        <f t="shared" si="6"/>
        <v>6.8</v>
      </c>
      <c r="F127" t="s">
        <v>32</v>
      </c>
      <c r="G127">
        <v>7307</v>
      </c>
      <c r="H127">
        <v>27.5</v>
      </c>
    </row>
    <row r="128" spans="1:8" x14ac:dyDescent="0.25">
      <c r="A128" t="s">
        <v>16</v>
      </c>
      <c r="B128" s="2">
        <v>1</v>
      </c>
      <c r="C128" s="2">
        <v>1</v>
      </c>
      <c r="D128" s="1">
        <v>10</v>
      </c>
      <c r="E128">
        <v>2</v>
      </c>
      <c r="F128" t="s">
        <v>18</v>
      </c>
      <c r="G128">
        <v>7308</v>
      </c>
      <c r="H128">
        <v>29.333333333333332</v>
      </c>
    </row>
    <row r="129" spans="1:8" x14ac:dyDescent="0.25">
      <c r="A129" t="s">
        <v>16</v>
      </c>
      <c r="B129" s="2">
        <v>1</v>
      </c>
      <c r="C129" s="2">
        <v>1</v>
      </c>
      <c r="D129" s="1">
        <v>10</v>
      </c>
      <c r="E129">
        <v>8</v>
      </c>
      <c r="F129" t="s">
        <v>19</v>
      </c>
      <c r="G129">
        <v>7308</v>
      </c>
      <c r="H129">
        <v>66.5</v>
      </c>
    </row>
    <row r="130" spans="1:8" x14ac:dyDescent="0.25">
      <c r="A130" t="s">
        <v>16</v>
      </c>
      <c r="B130" s="2">
        <v>1</v>
      </c>
      <c r="C130" s="2">
        <v>1</v>
      </c>
      <c r="D130" s="1">
        <v>10</v>
      </c>
      <c r="E130">
        <v>5</v>
      </c>
      <c r="F130" t="s">
        <v>32</v>
      </c>
      <c r="G130">
        <v>7308</v>
      </c>
      <c r="H130">
        <v>50</v>
      </c>
    </row>
    <row r="131" spans="1:8" x14ac:dyDescent="0.25">
      <c r="A131" t="s">
        <v>16</v>
      </c>
      <c r="B131" s="3" t="s">
        <v>22</v>
      </c>
      <c r="C131" t="s">
        <v>10</v>
      </c>
      <c r="D131">
        <v>2</v>
      </c>
      <c r="E131">
        <f t="shared" ref="E131:E145" si="7">(D131*8+(10-D131)*2)/10</f>
        <v>3.2</v>
      </c>
      <c r="F131" t="s">
        <v>18</v>
      </c>
      <c r="G131">
        <v>7308</v>
      </c>
      <c r="H131">
        <v>43</v>
      </c>
    </row>
    <row r="132" spans="1:8" x14ac:dyDescent="0.25">
      <c r="A132" t="s">
        <v>16</v>
      </c>
      <c r="B132" s="3" t="s">
        <v>22</v>
      </c>
      <c r="C132" t="s">
        <v>10</v>
      </c>
      <c r="D132">
        <v>2</v>
      </c>
      <c r="E132">
        <f t="shared" si="7"/>
        <v>3.2</v>
      </c>
      <c r="F132" t="s">
        <v>19</v>
      </c>
      <c r="G132">
        <v>7308</v>
      </c>
      <c r="H132">
        <v>50</v>
      </c>
    </row>
    <row r="133" spans="1:8" x14ac:dyDescent="0.25">
      <c r="A133" t="s">
        <v>17</v>
      </c>
      <c r="B133" s="3" t="s">
        <v>22</v>
      </c>
      <c r="C133" t="s">
        <v>10</v>
      </c>
      <c r="D133">
        <v>2</v>
      </c>
      <c r="E133">
        <f t="shared" si="7"/>
        <v>3.2</v>
      </c>
      <c r="F133" t="s">
        <v>32</v>
      </c>
      <c r="G133">
        <v>7308</v>
      </c>
      <c r="H133">
        <v>41.833333333333336</v>
      </c>
    </row>
    <row r="134" spans="1:8" x14ac:dyDescent="0.25">
      <c r="A134" t="s">
        <v>16</v>
      </c>
      <c r="B134" s="3" t="s">
        <v>24</v>
      </c>
      <c r="C134" t="s">
        <v>12</v>
      </c>
      <c r="D134">
        <v>4</v>
      </c>
      <c r="E134">
        <f t="shared" si="7"/>
        <v>4.4000000000000004</v>
      </c>
      <c r="F134" t="s">
        <v>18</v>
      </c>
      <c r="G134">
        <v>7308</v>
      </c>
      <c r="H134">
        <v>45.333333333333336</v>
      </c>
    </row>
    <row r="135" spans="1:8" x14ac:dyDescent="0.25">
      <c r="A135" t="s">
        <v>16</v>
      </c>
      <c r="B135" s="3" t="s">
        <v>24</v>
      </c>
      <c r="C135" t="s">
        <v>12</v>
      </c>
      <c r="D135">
        <v>4</v>
      </c>
      <c r="E135">
        <f t="shared" si="7"/>
        <v>4.4000000000000004</v>
      </c>
      <c r="F135" t="s">
        <v>19</v>
      </c>
      <c r="G135">
        <v>7308</v>
      </c>
      <c r="H135">
        <v>50</v>
      </c>
    </row>
    <row r="136" spans="1:8" x14ac:dyDescent="0.25">
      <c r="A136" t="s">
        <v>17</v>
      </c>
      <c r="B136" s="3" t="s">
        <v>24</v>
      </c>
      <c r="C136" t="s">
        <v>12</v>
      </c>
      <c r="D136">
        <v>4</v>
      </c>
      <c r="E136">
        <f t="shared" si="7"/>
        <v>4.4000000000000004</v>
      </c>
      <c r="F136" t="s">
        <v>32</v>
      </c>
      <c r="G136">
        <v>7308</v>
      </c>
      <c r="H136">
        <v>46.666666666666664</v>
      </c>
    </row>
    <row r="137" spans="1:8" x14ac:dyDescent="0.25">
      <c r="A137" t="s">
        <v>16</v>
      </c>
      <c r="B137" s="3" t="s">
        <v>26</v>
      </c>
      <c r="C137" t="s">
        <v>8</v>
      </c>
      <c r="D137">
        <v>5</v>
      </c>
      <c r="E137">
        <f t="shared" si="7"/>
        <v>5</v>
      </c>
      <c r="F137" t="s">
        <v>18</v>
      </c>
      <c r="G137">
        <v>7308</v>
      </c>
      <c r="H137">
        <v>43</v>
      </c>
    </row>
    <row r="138" spans="1:8" x14ac:dyDescent="0.25">
      <c r="A138" t="s">
        <v>16</v>
      </c>
      <c r="B138" s="3" t="s">
        <v>26</v>
      </c>
      <c r="C138" t="s">
        <v>8</v>
      </c>
      <c r="D138">
        <v>5</v>
      </c>
      <c r="E138">
        <f t="shared" si="7"/>
        <v>5</v>
      </c>
      <c r="F138" t="s">
        <v>19</v>
      </c>
      <c r="G138">
        <v>7308</v>
      </c>
      <c r="H138">
        <v>54.5</v>
      </c>
    </row>
    <row r="139" spans="1:8" x14ac:dyDescent="0.25">
      <c r="A139" t="s">
        <v>17</v>
      </c>
      <c r="B139" s="3" t="s">
        <v>26</v>
      </c>
      <c r="C139" t="s">
        <v>8</v>
      </c>
      <c r="D139">
        <v>5</v>
      </c>
      <c r="E139">
        <f t="shared" si="7"/>
        <v>5</v>
      </c>
      <c r="F139" t="s">
        <v>32</v>
      </c>
      <c r="G139">
        <v>7308</v>
      </c>
      <c r="H139">
        <v>51.5</v>
      </c>
    </row>
    <row r="140" spans="1:8" x14ac:dyDescent="0.25">
      <c r="A140" t="s">
        <v>16</v>
      </c>
      <c r="B140" s="3" t="s">
        <v>28</v>
      </c>
      <c r="C140" t="s">
        <v>6</v>
      </c>
      <c r="D140">
        <v>6</v>
      </c>
      <c r="E140">
        <f t="shared" si="7"/>
        <v>5.6</v>
      </c>
      <c r="F140" t="s">
        <v>18</v>
      </c>
      <c r="G140">
        <v>7308</v>
      </c>
      <c r="H140">
        <v>49.166666666666664</v>
      </c>
    </row>
    <row r="141" spans="1:8" x14ac:dyDescent="0.25">
      <c r="A141" t="s">
        <v>16</v>
      </c>
      <c r="B141" s="3" t="s">
        <v>28</v>
      </c>
      <c r="C141" t="s">
        <v>6</v>
      </c>
      <c r="D141">
        <v>6</v>
      </c>
      <c r="E141">
        <f t="shared" si="7"/>
        <v>5.6</v>
      </c>
      <c r="F141" t="s">
        <v>19</v>
      </c>
      <c r="G141">
        <v>7308</v>
      </c>
      <c r="H141">
        <v>54</v>
      </c>
    </row>
    <row r="142" spans="1:8" x14ac:dyDescent="0.25">
      <c r="A142" t="s">
        <v>17</v>
      </c>
      <c r="B142" s="3" t="s">
        <v>28</v>
      </c>
      <c r="C142" t="s">
        <v>6</v>
      </c>
      <c r="D142">
        <v>6</v>
      </c>
      <c r="E142">
        <f t="shared" si="7"/>
        <v>5.6</v>
      </c>
      <c r="F142" t="s">
        <v>32</v>
      </c>
      <c r="G142">
        <v>7308</v>
      </c>
      <c r="H142">
        <v>51.166666666666664</v>
      </c>
    </row>
    <row r="143" spans="1:8" x14ac:dyDescent="0.25">
      <c r="A143" t="s">
        <v>16</v>
      </c>
      <c r="B143" s="3" t="s">
        <v>30</v>
      </c>
      <c r="C143" t="s">
        <v>3</v>
      </c>
      <c r="D143">
        <v>8</v>
      </c>
      <c r="E143">
        <f t="shared" si="7"/>
        <v>6.8</v>
      </c>
      <c r="F143" t="s">
        <v>18</v>
      </c>
      <c r="G143">
        <v>7308</v>
      </c>
      <c r="H143">
        <v>48.166666666666664</v>
      </c>
    </row>
    <row r="144" spans="1:8" x14ac:dyDescent="0.25">
      <c r="A144" t="s">
        <v>16</v>
      </c>
      <c r="B144" s="3" t="s">
        <v>30</v>
      </c>
      <c r="C144" t="s">
        <v>3</v>
      </c>
      <c r="D144">
        <v>8</v>
      </c>
      <c r="E144">
        <f t="shared" si="7"/>
        <v>6.8</v>
      </c>
      <c r="F144" t="s">
        <v>19</v>
      </c>
      <c r="G144">
        <v>7308</v>
      </c>
      <c r="H144">
        <v>60.166666666666664</v>
      </c>
    </row>
    <row r="145" spans="1:8" x14ac:dyDescent="0.25">
      <c r="A145" t="s">
        <v>17</v>
      </c>
      <c r="B145" s="3" t="s">
        <v>30</v>
      </c>
      <c r="C145" t="s">
        <v>3</v>
      </c>
      <c r="D145">
        <v>8</v>
      </c>
      <c r="E145">
        <f t="shared" si="7"/>
        <v>6.8</v>
      </c>
      <c r="F145" t="s">
        <v>32</v>
      </c>
      <c r="G145">
        <v>7308</v>
      </c>
      <c r="H145">
        <v>52.166666666666664</v>
      </c>
    </row>
    <row r="146" spans="1:8" x14ac:dyDescent="0.25">
      <c r="A146" t="s">
        <v>16</v>
      </c>
      <c r="B146" s="2">
        <v>1</v>
      </c>
      <c r="C146" s="2">
        <v>1</v>
      </c>
      <c r="D146" s="1">
        <v>10</v>
      </c>
      <c r="E146">
        <v>2</v>
      </c>
      <c r="F146" t="s">
        <v>18</v>
      </c>
      <c r="G146">
        <v>7309</v>
      </c>
      <c r="H146">
        <v>30.833333333333332</v>
      </c>
    </row>
    <row r="147" spans="1:8" x14ac:dyDescent="0.25">
      <c r="A147" t="s">
        <v>16</v>
      </c>
      <c r="B147" s="2">
        <v>1</v>
      </c>
      <c r="C147" s="2">
        <v>1</v>
      </c>
      <c r="D147" s="1">
        <v>10</v>
      </c>
      <c r="E147">
        <v>8</v>
      </c>
      <c r="F147" t="s">
        <v>19</v>
      </c>
      <c r="G147">
        <v>7309</v>
      </c>
      <c r="H147">
        <v>80</v>
      </c>
    </row>
    <row r="148" spans="1:8" x14ac:dyDescent="0.25">
      <c r="A148" t="s">
        <v>16</v>
      </c>
      <c r="B148" s="2">
        <v>1</v>
      </c>
      <c r="C148" s="2">
        <v>1</v>
      </c>
      <c r="D148" s="1">
        <v>10</v>
      </c>
      <c r="E148">
        <v>5</v>
      </c>
      <c r="F148" t="s">
        <v>32</v>
      </c>
      <c r="G148">
        <v>7309</v>
      </c>
      <c r="H148">
        <v>50</v>
      </c>
    </row>
    <row r="149" spans="1:8" x14ac:dyDescent="0.25">
      <c r="A149" t="s">
        <v>16</v>
      </c>
      <c r="B149" s="3" t="s">
        <v>22</v>
      </c>
      <c r="C149" t="s">
        <v>10</v>
      </c>
      <c r="D149">
        <v>2</v>
      </c>
      <c r="E149">
        <f t="shared" ref="E149:E163" si="8">(D149*8+(10-D149)*2)/10</f>
        <v>3.2</v>
      </c>
      <c r="F149" t="s">
        <v>18</v>
      </c>
      <c r="G149">
        <v>7309</v>
      </c>
      <c r="H149">
        <v>32.5</v>
      </c>
    </row>
    <row r="150" spans="1:8" x14ac:dyDescent="0.25">
      <c r="A150" t="s">
        <v>16</v>
      </c>
      <c r="B150" s="3" t="s">
        <v>22</v>
      </c>
      <c r="C150" t="s">
        <v>10</v>
      </c>
      <c r="D150">
        <v>2</v>
      </c>
      <c r="E150">
        <f t="shared" si="8"/>
        <v>3.2</v>
      </c>
      <c r="F150" t="s">
        <v>19</v>
      </c>
      <c r="G150">
        <v>7309</v>
      </c>
      <c r="H150">
        <v>45.833333333333336</v>
      </c>
    </row>
    <row r="151" spans="1:8" x14ac:dyDescent="0.25">
      <c r="A151" t="s">
        <v>17</v>
      </c>
      <c r="B151" s="3" t="s">
        <v>22</v>
      </c>
      <c r="C151" t="s">
        <v>10</v>
      </c>
      <c r="D151">
        <v>2</v>
      </c>
      <c r="E151">
        <f t="shared" si="8"/>
        <v>3.2</v>
      </c>
      <c r="F151" t="s">
        <v>32</v>
      </c>
      <c r="G151">
        <v>7309</v>
      </c>
      <c r="H151">
        <v>28.6</v>
      </c>
    </row>
    <row r="152" spans="1:8" x14ac:dyDescent="0.25">
      <c r="A152" t="s">
        <v>16</v>
      </c>
      <c r="B152" s="3" t="s">
        <v>24</v>
      </c>
      <c r="C152" t="s">
        <v>12</v>
      </c>
      <c r="D152">
        <v>4</v>
      </c>
      <c r="E152">
        <f t="shared" si="8"/>
        <v>4.4000000000000004</v>
      </c>
      <c r="F152" t="s">
        <v>18</v>
      </c>
      <c r="G152">
        <v>7309</v>
      </c>
      <c r="H152">
        <v>37.166666666666664</v>
      </c>
    </row>
    <row r="153" spans="1:8" x14ac:dyDescent="0.25">
      <c r="A153" t="s">
        <v>16</v>
      </c>
      <c r="B153" s="3" t="s">
        <v>24</v>
      </c>
      <c r="C153" t="s">
        <v>12</v>
      </c>
      <c r="D153">
        <v>4</v>
      </c>
      <c r="E153">
        <f t="shared" si="8"/>
        <v>4.4000000000000004</v>
      </c>
      <c r="F153" t="s">
        <v>19</v>
      </c>
      <c r="G153">
        <v>7309</v>
      </c>
      <c r="H153">
        <v>52.333333333333336</v>
      </c>
    </row>
    <row r="154" spans="1:8" x14ac:dyDescent="0.25">
      <c r="A154" t="s">
        <v>17</v>
      </c>
      <c r="B154" s="3" t="s">
        <v>24</v>
      </c>
      <c r="C154" t="s">
        <v>12</v>
      </c>
      <c r="D154">
        <v>4</v>
      </c>
      <c r="E154">
        <f t="shared" si="8"/>
        <v>4.4000000000000004</v>
      </c>
      <c r="F154" t="s">
        <v>32</v>
      </c>
      <c r="G154">
        <v>7309</v>
      </c>
      <c r="H154">
        <v>34.5</v>
      </c>
    </row>
    <row r="155" spans="1:8" x14ac:dyDescent="0.25">
      <c r="A155" t="s">
        <v>16</v>
      </c>
      <c r="B155" s="3" t="s">
        <v>26</v>
      </c>
      <c r="C155" t="s">
        <v>8</v>
      </c>
      <c r="D155">
        <v>5</v>
      </c>
      <c r="E155">
        <f t="shared" si="8"/>
        <v>5</v>
      </c>
      <c r="F155" t="s">
        <v>18</v>
      </c>
      <c r="G155">
        <v>7309</v>
      </c>
      <c r="H155">
        <v>41</v>
      </c>
    </row>
    <row r="156" spans="1:8" x14ac:dyDescent="0.25">
      <c r="A156" t="s">
        <v>16</v>
      </c>
      <c r="B156" s="3" t="s">
        <v>26</v>
      </c>
      <c r="C156" t="s">
        <v>8</v>
      </c>
      <c r="D156">
        <v>5</v>
      </c>
      <c r="E156">
        <f t="shared" si="8"/>
        <v>5</v>
      </c>
      <c r="F156" t="s">
        <v>19</v>
      </c>
      <c r="G156">
        <v>7309</v>
      </c>
      <c r="H156">
        <v>58.666666666666664</v>
      </c>
    </row>
    <row r="157" spans="1:8" x14ac:dyDescent="0.25">
      <c r="A157" t="s">
        <v>17</v>
      </c>
      <c r="B157" s="3" t="s">
        <v>26</v>
      </c>
      <c r="C157" t="s">
        <v>8</v>
      </c>
      <c r="D157">
        <v>5</v>
      </c>
      <c r="E157">
        <f t="shared" si="8"/>
        <v>5</v>
      </c>
      <c r="F157" t="s">
        <v>32</v>
      </c>
      <c r="G157">
        <v>7309</v>
      </c>
      <c r="H157">
        <v>48.333333333333336</v>
      </c>
    </row>
    <row r="158" spans="1:8" x14ac:dyDescent="0.25">
      <c r="A158" t="s">
        <v>16</v>
      </c>
      <c r="B158" s="3" t="s">
        <v>28</v>
      </c>
      <c r="C158" t="s">
        <v>6</v>
      </c>
      <c r="D158">
        <v>6</v>
      </c>
      <c r="E158">
        <f t="shared" si="8"/>
        <v>5.6</v>
      </c>
      <c r="F158" t="s">
        <v>18</v>
      </c>
      <c r="G158">
        <v>7309</v>
      </c>
      <c r="H158">
        <v>56.166666666666664</v>
      </c>
    </row>
    <row r="159" spans="1:8" x14ac:dyDescent="0.25">
      <c r="A159" t="s">
        <v>16</v>
      </c>
      <c r="B159" s="3" t="s">
        <v>28</v>
      </c>
      <c r="C159" t="s">
        <v>6</v>
      </c>
      <c r="D159">
        <v>6</v>
      </c>
      <c r="E159">
        <f t="shared" si="8"/>
        <v>5.6</v>
      </c>
      <c r="F159" t="s">
        <v>19</v>
      </c>
      <c r="G159">
        <v>7309</v>
      </c>
      <c r="H159">
        <v>68</v>
      </c>
    </row>
    <row r="160" spans="1:8" x14ac:dyDescent="0.25">
      <c r="A160" t="s">
        <v>17</v>
      </c>
      <c r="B160" s="3" t="s">
        <v>28</v>
      </c>
      <c r="C160" t="s">
        <v>6</v>
      </c>
      <c r="D160">
        <v>6</v>
      </c>
      <c r="E160">
        <f t="shared" si="8"/>
        <v>5.6</v>
      </c>
      <c r="F160" t="s">
        <v>32</v>
      </c>
      <c r="G160">
        <v>7309</v>
      </c>
      <c r="H160">
        <v>57.833333333333336</v>
      </c>
    </row>
    <row r="161" spans="1:8" x14ac:dyDescent="0.25">
      <c r="A161" t="s">
        <v>16</v>
      </c>
      <c r="B161" s="3" t="s">
        <v>30</v>
      </c>
      <c r="C161" t="s">
        <v>3</v>
      </c>
      <c r="D161">
        <v>8</v>
      </c>
      <c r="E161">
        <f t="shared" si="8"/>
        <v>6.8</v>
      </c>
      <c r="F161" t="s">
        <v>18</v>
      </c>
      <c r="G161">
        <v>7309</v>
      </c>
      <c r="H161">
        <v>57.166666666666664</v>
      </c>
    </row>
    <row r="162" spans="1:8" x14ac:dyDescent="0.25">
      <c r="A162" t="s">
        <v>16</v>
      </c>
      <c r="B162" s="3" t="s">
        <v>30</v>
      </c>
      <c r="C162" t="s">
        <v>3</v>
      </c>
      <c r="D162">
        <v>8</v>
      </c>
      <c r="E162">
        <f t="shared" si="8"/>
        <v>6.8</v>
      </c>
      <c r="F162" t="s">
        <v>19</v>
      </c>
      <c r="G162">
        <v>7309</v>
      </c>
      <c r="H162">
        <v>70</v>
      </c>
    </row>
    <row r="163" spans="1:8" x14ac:dyDescent="0.25">
      <c r="A163" t="s">
        <v>17</v>
      </c>
      <c r="B163" s="3" t="s">
        <v>30</v>
      </c>
      <c r="C163" t="s">
        <v>3</v>
      </c>
      <c r="D163">
        <v>8</v>
      </c>
      <c r="E163">
        <f t="shared" si="8"/>
        <v>6.8</v>
      </c>
      <c r="F163" t="s">
        <v>32</v>
      </c>
      <c r="G163">
        <v>7309</v>
      </c>
      <c r="H163">
        <v>65.666666666666671</v>
      </c>
    </row>
    <row r="164" spans="1:8" x14ac:dyDescent="0.25">
      <c r="A164" t="s">
        <v>16</v>
      </c>
      <c r="B164" s="2">
        <v>1</v>
      </c>
      <c r="C164" s="2">
        <v>1</v>
      </c>
      <c r="D164" s="1">
        <v>10</v>
      </c>
      <c r="E164">
        <v>2</v>
      </c>
      <c r="F164" t="s">
        <v>18</v>
      </c>
      <c r="G164">
        <v>7310</v>
      </c>
      <c r="H164">
        <v>21.666666666666668</v>
      </c>
    </row>
    <row r="165" spans="1:8" x14ac:dyDescent="0.25">
      <c r="A165" t="s">
        <v>16</v>
      </c>
      <c r="B165" s="2">
        <v>1</v>
      </c>
      <c r="C165" s="2">
        <v>1</v>
      </c>
      <c r="D165" s="1">
        <v>10</v>
      </c>
      <c r="E165">
        <v>8</v>
      </c>
      <c r="F165" t="s">
        <v>19</v>
      </c>
      <c r="G165">
        <v>7310</v>
      </c>
      <c r="H165">
        <v>89.833333333333329</v>
      </c>
    </row>
    <row r="166" spans="1:8" x14ac:dyDescent="0.25">
      <c r="A166" t="s">
        <v>16</v>
      </c>
      <c r="B166" s="2">
        <v>1</v>
      </c>
      <c r="C166" s="2">
        <v>1</v>
      </c>
      <c r="D166" s="1">
        <v>10</v>
      </c>
      <c r="E166">
        <v>5</v>
      </c>
      <c r="F166" t="s">
        <v>32</v>
      </c>
      <c r="G166">
        <v>7310</v>
      </c>
      <c r="H166">
        <v>56.333333333333336</v>
      </c>
    </row>
    <row r="167" spans="1:8" x14ac:dyDescent="0.25">
      <c r="A167" t="s">
        <v>16</v>
      </c>
      <c r="B167" s="3" t="s">
        <v>22</v>
      </c>
      <c r="C167" t="s">
        <v>10</v>
      </c>
      <c r="D167">
        <v>2</v>
      </c>
      <c r="E167">
        <f t="shared" ref="E167:E181" si="9">(D167*8+(10-D167)*2)/10</f>
        <v>3.2</v>
      </c>
      <c r="F167" t="s">
        <v>18</v>
      </c>
      <c r="G167">
        <v>7310</v>
      </c>
      <c r="H167">
        <v>26.666666666666668</v>
      </c>
    </row>
    <row r="168" spans="1:8" x14ac:dyDescent="0.25">
      <c r="A168" t="s">
        <v>16</v>
      </c>
      <c r="B168" s="3" t="s">
        <v>22</v>
      </c>
      <c r="C168" t="s">
        <v>10</v>
      </c>
      <c r="D168">
        <v>2</v>
      </c>
      <c r="E168">
        <f t="shared" si="9"/>
        <v>3.2</v>
      </c>
      <c r="F168" t="s">
        <v>19</v>
      </c>
      <c r="G168">
        <v>7310</v>
      </c>
      <c r="H168">
        <v>69.5</v>
      </c>
    </row>
    <row r="169" spans="1:8" x14ac:dyDescent="0.25">
      <c r="A169" t="s">
        <v>17</v>
      </c>
      <c r="B169" s="3" t="s">
        <v>22</v>
      </c>
      <c r="C169" t="s">
        <v>10</v>
      </c>
      <c r="D169">
        <v>2</v>
      </c>
      <c r="E169">
        <f t="shared" si="9"/>
        <v>3.2</v>
      </c>
      <c r="F169" t="s">
        <v>32</v>
      </c>
      <c r="G169">
        <v>7310</v>
      </c>
      <c r="H169">
        <v>25.166666666666668</v>
      </c>
    </row>
    <row r="170" spans="1:8" x14ac:dyDescent="0.25">
      <c r="A170" t="s">
        <v>16</v>
      </c>
      <c r="B170" s="3" t="s">
        <v>24</v>
      </c>
      <c r="C170" t="s">
        <v>12</v>
      </c>
      <c r="D170">
        <v>4</v>
      </c>
      <c r="E170">
        <f t="shared" si="9"/>
        <v>4.4000000000000004</v>
      </c>
      <c r="F170" t="s">
        <v>18</v>
      </c>
      <c r="G170">
        <v>7310</v>
      </c>
      <c r="H170">
        <v>33.166666666666664</v>
      </c>
    </row>
    <row r="171" spans="1:8" x14ac:dyDescent="0.25">
      <c r="A171" t="s">
        <v>16</v>
      </c>
      <c r="B171" s="3" t="s">
        <v>24</v>
      </c>
      <c r="C171" t="s">
        <v>12</v>
      </c>
      <c r="D171">
        <v>4</v>
      </c>
      <c r="E171">
        <f t="shared" si="9"/>
        <v>4.4000000000000004</v>
      </c>
      <c r="F171" t="s">
        <v>19</v>
      </c>
      <c r="G171">
        <v>7310</v>
      </c>
      <c r="H171">
        <v>72.166666666666671</v>
      </c>
    </row>
    <row r="172" spans="1:8" x14ac:dyDescent="0.25">
      <c r="A172" t="s">
        <v>17</v>
      </c>
      <c r="B172" s="3" t="s">
        <v>24</v>
      </c>
      <c r="C172" t="s">
        <v>12</v>
      </c>
      <c r="D172">
        <v>4</v>
      </c>
      <c r="E172">
        <f t="shared" si="9"/>
        <v>4.4000000000000004</v>
      </c>
      <c r="F172" t="s">
        <v>32</v>
      </c>
      <c r="G172">
        <v>7310</v>
      </c>
      <c r="H172">
        <v>28.5</v>
      </c>
    </row>
    <row r="173" spans="1:8" x14ac:dyDescent="0.25">
      <c r="A173" t="s">
        <v>16</v>
      </c>
      <c r="B173" s="3" t="s">
        <v>26</v>
      </c>
      <c r="C173" t="s">
        <v>8</v>
      </c>
      <c r="D173">
        <v>5</v>
      </c>
      <c r="E173">
        <f t="shared" si="9"/>
        <v>5</v>
      </c>
      <c r="F173" t="s">
        <v>18</v>
      </c>
      <c r="G173">
        <v>7310</v>
      </c>
      <c r="H173">
        <v>26.666666666666668</v>
      </c>
    </row>
    <row r="174" spans="1:8" x14ac:dyDescent="0.25">
      <c r="A174" t="s">
        <v>16</v>
      </c>
      <c r="B174" s="3" t="s">
        <v>26</v>
      </c>
      <c r="C174" t="s">
        <v>8</v>
      </c>
      <c r="D174">
        <v>5</v>
      </c>
      <c r="E174">
        <f t="shared" si="9"/>
        <v>5</v>
      </c>
      <c r="F174" t="s">
        <v>19</v>
      </c>
      <c r="G174">
        <v>7310</v>
      </c>
      <c r="H174">
        <v>77.666666666666671</v>
      </c>
    </row>
    <row r="175" spans="1:8" x14ac:dyDescent="0.25">
      <c r="A175" t="s">
        <v>17</v>
      </c>
      <c r="B175" s="3" t="s">
        <v>26</v>
      </c>
      <c r="C175" t="s">
        <v>8</v>
      </c>
      <c r="D175">
        <v>5</v>
      </c>
      <c r="E175">
        <f t="shared" si="9"/>
        <v>5</v>
      </c>
      <c r="F175" t="s">
        <v>32</v>
      </c>
      <c r="G175">
        <v>7310</v>
      </c>
      <c r="H175">
        <v>35.666666666666664</v>
      </c>
    </row>
    <row r="176" spans="1:8" x14ac:dyDescent="0.25">
      <c r="A176" t="s">
        <v>16</v>
      </c>
      <c r="B176" s="3" t="s">
        <v>28</v>
      </c>
      <c r="C176" t="s">
        <v>6</v>
      </c>
      <c r="D176">
        <v>6</v>
      </c>
      <c r="E176">
        <f t="shared" si="9"/>
        <v>5.6</v>
      </c>
      <c r="F176" t="s">
        <v>18</v>
      </c>
      <c r="G176">
        <v>7310</v>
      </c>
      <c r="H176">
        <v>30.5</v>
      </c>
    </row>
    <row r="177" spans="1:8" x14ac:dyDescent="0.25">
      <c r="A177" t="s">
        <v>16</v>
      </c>
      <c r="B177" s="3" t="s">
        <v>28</v>
      </c>
      <c r="C177" t="s">
        <v>6</v>
      </c>
      <c r="D177">
        <v>6</v>
      </c>
      <c r="E177">
        <f t="shared" si="9"/>
        <v>5.6</v>
      </c>
      <c r="F177" t="s">
        <v>19</v>
      </c>
      <c r="G177">
        <v>7310</v>
      </c>
      <c r="H177">
        <v>74.166666666666671</v>
      </c>
    </row>
    <row r="178" spans="1:8" x14ac:dyDescent="0.25">
      <c r="A178" t="s">
        <v>17</v>
      </c>
      <c r="B178" s="3" t="s">
        <v>28</v>
      </c>
      <c r="C178" t="s">
        <v>6</v>
      </c>
      <c r="D178">
        <v>6</v>
      </c>
      <c r="E178">
        <f t="shared" si="9"/>
        <v>5.6</v>
      </c>
      <c r="F178" t="s">
        <v>32</v>
      </c>
      <c r="G178">
        <v>7310</v>
      </c>
      <c r="H178">
        <v>31.333333333333332</v>
      </c>
    </row>
    <row r="179" spans="1:8" x14ac:dyDescent="0.25">
      <c r="A179" t="s">
        <v>16</v>
      </c>
      <c r="B179" s="3" t="s">
        <v>30</v>
      </c>
      <c r="C179" t="s">
        <v>3</v>
      </c>
      <c r="D179">
        <v>8</v>
      </c>
      <c r="E179">
        <f t="shared" si="9"/>
        <v>6.8</v>
      </c>
      <c r="F179" t="s">
        <v>18</v>
      </c>
      <c r="G179">
        <v>7310</v>
      </c>
      <c r="H179">
        <v>32.166666666666664</v>
      </c>
    </row>
    <row r="180" spans="1:8" x14ac:dyDescent="0.25">
      <c r="A180" t="s">
        <v>16</v>
      </c>
      <c r="B180" s="3" t="s">
        <v>30</v>
      </c>
      <c r="C180" t="s">
        <v>3</v>
      </c>
      <c r="D180">
        <v>8</v>
      </c>
      <c r="E180">
        <f t="shared" si="9"/>
        <v>6.8</v>
      </c>
      <c r="F180" t="s">
        <v>19</v>
      </c>
      <c r="G180">
        <v>7310</v>
      </c>
      <c r="H180">
        <v>76</v>
      </c>
    </row>
    <row r="181" spans="1:8" x14ac:dyDescent="0.25">
      <c r="A181" t="s">
        <v>17</v>
      </c>
      <c r="B181" s="3" t="s">
        <v>30</v>
      </c>
      <c r="C181" t="s">
        <v>3</v>
      </c>
      <c r="D181">
        <v>8</v>
      </c>
      <c r="E181">
        <f t="shared" si="9"/>
        <v>6.8</v>
      </c>
      <c r="F181" t="s">
        <v>32</v>
      </c>
      <c r="G181">
        <v>7310</v>
      </c>
      <c r="H181">
        <v>49.166666666666664</v>
      </c>
    </row>
    <row r="182" spans="1:8" x14ac:dyDescent="0.25">
      <c r="A182" t="s">
        <v>16</v>
      </c>
      <c r="B182" s="2">
        <v>1</v>
      </c>
      <c r="C182" s="2">
        <v>1</v>
      </c>
      <c r="D182" s="1">
        <v>10</v>
      </c>
      <c r="E182">
        <v>2</v>
      </c>
      <c r="F182" t="s">
        <v>18</v>
      </c>
      <c r="G182">
        <v>7311</v>
      </c>
      <c r="H182">
        <v>100</v>
      </c>
    </row>
    <row r="183" spans="1:8" x14ac:dyDescent="0.25">
      <c r="A183" t="s">
        <v>16</v>
      </c>
      <c r="B183" s="2">
        <v>1</v>
      </c>
      <c r="C183" s="2">
        <v>1</v>
      </c>
      <c r="D183" s="1">
        <v>10</v>
      </c>
      <c r="E183">
        <v>8</v>
      </c>
      <c r="F183" t="s">
        <v>19</v>
      </c>
      <c r="G183">
        <v>7311</v>
      </c>
      <c r="H183">
        <v>100</v>
      </c>
    </row>
    <row r="184" spans="1:8" x14ac:dyDescent="0.25">
      <c r="A184" t="s">
        <v>16</v>
      </c>
      <c r="B184" s="2">
        <v>1</v>
      </c>
      <c r="C184" s="2">
        <v>1</v>
      </c>
      <c r="D184" s="1">
        <v>10</v>
      </c>
      <c r="E184">
        <v>5</v>
      </c>
      <c r="F184" t="s">
        <v>32</v>
      </c>
      <c r="G184">
        <v>7311</v>
      </c>
      <c r="H184">
        <v>100</v>
      </c>
    </row>
    <row r="185" spans="1:8" x14ac:dyDescent="0.25">
      <c r="A185" t="s">
        <v>16</v>
      </c>
      <c r="B185" s="3" t="s">
        <v>22</v>
      </c>
      <c r="C185" t="s">
        <v>10</v>
      </c>
      <c r="D185">
        <v>2</v>
      </c>
      <c r="E185">
        <f t="shared" ref="E185:E199" si="10">(D185*8+(10-D185)*2)/10</f>
        <v>3.2</v>
      </c>
      <c r="F185" t="s">
        <v>18</v>
      </c>
      <c r="G185">
        <v>7311</v>
      </c>
      <c r="H185">
        <v>100</v>
      </c>
    </row>
    <row r="186" spans="1:8" x14ac:dyDescent="0.25">
      <c r="A186" t="s">
        <v>16</v>
      </c>
      <c r="B186" s="3" t="s">
        <v>22</v>
      </c>
      <c r="C186" t="s">
        <v>10</v>
      </c>
      <c r="D186">
        <v>2</v>
      </c>
      <c r="E186">
        <f t="shared" si="10"/>
        <v>3.2</v>
      </c>
      <c r="F186" t="s">
        <v>19</v>
      </c>
      <c r="G186">
        <v>7311</v>
      </c>
      <c r="H186">
        <v>100</v>
      </c>
    </row>
    <row r="187" spans="1:8" x14ac:dyDescent="0.25">
      <c r="A187" t="s">
        <v>17</v>
      </c>
      <c r="B187" s="3" t="s">
        <v>22</v>
      </c>
      <c r="C187" t="s">
        <v>10</v>
      </c>
      <c r="D187">
        <v>2</v>
      </c>
      <c r="E187">
        <f t="shared" si="10"/>
        <v>3.2</v>
      </c>
      <c r="F187" t="s">
        <v>32</v>
      </c>
      <c r="G187">
        <v>7311</v>
      </c>
      <c r="H187">
        <v>100</v>
      </c>
    </row>
    <row r="188" spans="1:8" x14ac:dyDescent="0.25">
      <c r="A188" t="s">
        <v>16</v>
      </c>
      <c r="B188" s="3" t="s">
        <v>24</v>
      </c>
      <c r="C188" t="s">
        <v>12</v>
      </c>
      <c r="D188">
        <v>4</v>
      </c>
      <c r="E188">
        <f t="shared" si="10"/>
        <v>4.4000000000000004</v>
      </c>
      <c r="F188" t="s">
        <v>18</v>
      </c>
      <c r="G188">
        <v>7311</v>
      </c>
      <c r="H188">
        <v>100</v>
      </c>
    </row>
    <row r="189" spans="1:8" x14ac:dyDescent="0.25">
      <c r="A189" t="s">
        <v>16</v>
      </c>
      <c r="B189" s="3" t="s">
        <v>24</v>
      </c>
      <c r="C189" t="s">
        <v>12</v>
      </c>
      <c r="D189">
        <v>4</v>
      </c>
      <c r="E189">
        <f t="shared" si="10"/>
        <v>4.4000000000000004</v>
      </c>
      <c r="F189" t="s">
        <v>19</v>
      </c>
      <c r="G189">
        <v>7311</v>
      </c>
      <c r="H189">
        <v>100</v>
      </c>
    </row>
    <row r="190" spans="1:8" x14ac:dyDescent="0.25">
      <c r="A190" t="s">
        <v>17</v>
      </c>
      <c r="B190" s="3" t="s">
        <v>24</v>
      </c>
      <c r="C190" t="s">
        <v>12</v>
      </c>
      <c r="D190">
        <v>4</v>
      </c>
      <c r="E190">
        <f t="shared" si="10"/>
        <v>4.4000000000000004</v>
      </c>
      <c r="F190" t="s">
        <v>32</v>
      </c>
      <c r="G190">
        <v>7311</v>
      </c>
      <c r="H190">
        <v>100</v>
      </c>
    </row>
    <row r="191" spans="1:8" x14ac:dyDescent="0.25">
      <c r="A191" t="s">
        <v>16</v>
      </c>
      <c r="B191" s="3" t="s">
        <v>26</v>
      </c>
      <c r="C191" t="s">
        <v>8</v>
      </c>
      <c r="D191">
        <v>5</v>
      </c>
      <c r="E191">
        <f t="shared" si="10"/>
        <v>5</v>
      </c>
      <c r="F191" t="s">
        <v>18</v>
      </c>
      <c r="G191">
        <v>7311</v>
      </c>
      <c r="H191">
        <v>100</v>
      </c>
    </row>
    <row r="192" spans="1:8" x14ac:dyDescent="0.25">
      <c r="A192" t="s">
        <v>16</v>
      </c>
      <c r="B192" s="3" t="s">
        <v>26</v>
      </c>
      <c r="C192" t="s">
        <v>8</v>
      </c>
      <c r="D192">
        <v>5</v>
      </c>
      <c r="E192">
        <f t="shared" si="10"/>
        <v>5</v>
      </c>
      <c r="F192" t="s">
        <v>19</v>
      </c>
      <c r="G192">
        <v>7311</v>
      </c>
      <c r="H192">
        <v>100</v>
      </c>
    </row>
    <row r="193" spans="1:8" x14ac:dyDescent="0.25">
      <c r="A193" t="s">
        <v>17</v>
      </c>
      <c r="B193" s="3" t="s">
        <v>26</v>
      </c>
      <c r="C193" t="s">
        <v>8</v>
      </c>
      <c r="D193">
        <v>5</v>
      </c>
      <c r="E193">
        <f t="shared" si="10"/>
        <v>5</v>
      </c>
      <c r="F193" t="s">
        <v>32</v>
      </c>
      <c r="G193">
        <v>7311</v>
      </c>
      <c r="H193">
        <v>100</v>
      </c>
    </row>
    <row r="194" spans="1:8" x14ac:dyDescent="0.25">
      <c r="A194" t="s">
        <v>16</v>
      </c>
      <c r="B194" s="3" t="s">
        <v>28</v>
      </c>
      <c r="C194" t="s">
        <v>6</v>
      </c>
      <c r="D194">
        <v>6</v>
      </c>
      <c r="E194">
        <f t="shared" si="10"/>
        <v>5.6</v>
      </c>
      <c r="F194" t="s">
        <v>18</v>
      </c>
      <c r="G194">
        <v>7311</v>
      </c>
      <c r="H194">
        <v>100</v>
      </c>
    </row>
    <row r="195" spans="1:8" x14ac:dyDescent="0.25">
      <c r="A195" t="s">
        <v>16</v>
      </c>
      <c r="B195" s="3" t="s">
        <v>28</v>
      </c>
      <c r="C195" t="s">
        <v>6</v>
      </c>
      <c r="D195">
        <v>6</v>
      </c>
      <c r="E195">
        <f t="shared" si="10"/>
        <v>5.6</v>
      </c>
      <c r="F195" t="s">
        <v>19</v>
      </c>
      <c r="G195">
        <v>7311</v>
      </c>
      <c r="H195">
        <v>100</v>
      </c>
    </row>
    <row r="196" spans="1:8" x14ac:dyDescent="0.25">
      <c r="A196" t="s">
        <v>17</v>
      </c>
      <c r="B196" s="3" t="s">
        <v>28</v>
      </c>
      <c r="C196" t="s">
        <v>6</v>
      </c>
      <c r="D196">
        <v>6</v>
      </c>
      <c r="E196">
        <f t="shared" si="10"/>
        <v>5.6</v>
      </c>
      <c r="F196" t="s">
        <v>32</v>
      </c>
      <c r="G196">
        <v>7311</v>
      </c>
      <c r="H196">
        <v>100</v>
      </c>
    </row>
    <row r="197" spans="1:8" x14ac:dyDescent="0.25">
      <c r="A197" t="s">
        <v>16</v>
      </c>
      <c r="B197" s="3" t="s">
        <v>30</v>
      </c>
      <c r="C197" t="s">
        <v>3</v>
      </c>
      <c r="D197">
        <v>8</v>
      </c>
      <c r="E197">
        <f t="shared" si="10"/>
        <v>6.8</v>
      </c>
      <c r="F197" t="s">
        <v>18</v>
      </c>
      <c r="G197">
        <v>7311</v>
      </c>
      <c r="H197">
        <v>100</v>
      </c>
    </row>
    <row r="198" spans="1:8" x14ac:dyDescent="0.25">
      <c r="A198" t="s">
        <v>16</v>
      </c>
      <c r="B198" s="3" t="s">
        <v>30</v>
      </c>
      <c r="C198" t="s">
        <v>3</v>
      </c>
      <c r="D198">
        <v>8</v>
      </c>
      <c r="E198">
        <f t="shared" si="10"/>
        <v>6.8</v>
      </c>
      <c r="F198" t="s">
        <v>19</v>
      </c>
      <c r="G198">
        <v>7311</v>
      </c>
      <c r="H198">
        <v>100</v>
      </c>
    </row>
    <row r="199" spans="1:8" x14ac:dyDescent="0.25">
      <c r="A199" t="s">
        <v>17</v>
      </c>
      <c r="B199" s="3" t="s">
        <v>30</v>
      </c>
      <c r="C199" t="s">
        <v>3</v>
      </c>
      <c r="D199">
        <v>8</v>
      </c>
      <c r="E199">
        <f t="shared" si="10"/>
        <v>6.8</v>
      </c>
      <c r="F199" t="s">
        <v>32</v>
      </c>
      <c r="G199">
        <v>7311</v>
      </c>
      <c r="H199">
        <v>100</v>
      </c>
    </row>
    <row r="200" spans="1:8" x14ac:dyDescent="0.25">
      <c r="A200" t="s">
        <v>16</v>
      </c>
      <c r="B200" s="2">
        <v>1</v>
      </c>
      <c r="C200" s="2">
        <v>1</v>
      </c>
      <c r="D200" s="1">
        <v>10</v>
      </c>
      <c r="E200">
        <v>2</v>
      </c>
      <c r="F200" t="s">
        <v>18</v>
      </c>
      <c r="G200">
        <v>7312</v>
      </c>
      <c r="H200">
        <v>2.5</v>
      </c>
    </row>
    <row r="201" spans="1:8" x14ac:dyDescent="0.25">
      <c r="A201" t="s">
        <v>16</v>
      </c>
      <c r="B201" s="2">
        <v>1</v>
      </c>
      <c r="C201" s="2">
        <v>1</v>
      </c>
      <c r="D201" s="1">
        <v>10</v>
      </c>
      <c r="E201">
        <v>8</v>
      </c>
      <c r="F201" t="s">
        <v>19</v>
      </c>
      <c r="G201">
        <v>7312</v>
      </c>
      <c r="H201">
        <v>3.3333333333333335</v>
      </c>
    </row>
    <row r="202" spans="1:8" x14ac:dyDescent="0.25">
      <c r="A202" t="s">
        <v>16</v>
      </c>
      <c r="B202" s="2">
        <v>1</v>
      </c>
      <c r="C202" s="2">
        <v>1</v>
      </c>
      <c r="D202" s="1">
        <v>10</v>
      </c>
      <c r="E202">
        <v>5</v>
      </c>
      <c r="F202" t="s">
        <v>32</v>
      </c>
      <c r="G202">
        <v>7312</v>
      </c>
      <c r="H202">
        <v>3.3333333333333335</v>
      </c>
    </row>
    <row r="203" spans="1:8" x14ac:dyDescent="0.25">
      <c r="A203" t="s">
        <v>16</v>
      </c>
      <c r="B203" s="3" t="s">
        <v>22</v>
      </c>
      <c r="C203" t="s">
        <v>10</v>
      </c>
      <c r="D203">
        <v>2</v>
      </c>
      <c r="E203">
        <f t="shared" ref="E203:E217" si="11">(D203*8+(10-D203)*2)/10</f>
        <v>3.2</v>
      </c>
      <c r="F203" t="s">
        <v>18</v>
      </c>
      <c r="G203">
        <v>7312</v>
      </c>
      <c r="H203">
        <v>2.5</v>
      </c>
    </row>
    <row r="204" spans="1:8" x14ac:dyDescent="0.25">
      <c r="A204" t="s">
        <v>16</v>
      </c>
      <c r="B204" s="3" t="s">
        <v>22</v>
      </c>
      <c r="C204" t="s">
        <v>10</v>
      </c>
      <c r="D204">
        <v>2</v>
      </c>
      <c r="E204">
        <f t="shared" si="11"/>
        <v>3.2</v>
      </c>
      <c r="F204" t="s">
        <v>19</v>
      </c>
      <c r="G204">
        <v>7312</v>
      </c>
      <c r="H204">
        <v>5.6</v>
      </c>
    </row>
    <row r="205" spans="1:8" x14ac:dyDescent="0.25">
      <c r="A205" t="s">
        <v>17</v>
      </c>
      <c r="B205" s="3" t="s">
        <v>22</v>
      </c>
      <c r="C205" t="s">
        <v>10</v>
      </c>
      <c r="D205">
        <v>2</v>
      </c>
      <c r="E205">
        <f t="shared" si="11"/>
        <v>3.2</v>
      </c>
      <c r="F205" t="s">
        <v>32</v>
      </c>
      <c r="G205">
        <v>7312</v>
      </c>
      <c r="H205">
        <v>3.5</v>
      </c>
    </row>
    <row r="206" spans="1:8" x14ac:dyDescent="0.25">
      <c r="A206" t="s">
        <v>16</v>
      </c>
      <c r="B206" s="3" t="s">
        <v>24</v>
      </c>
      <c r="C206" t="s">
        <v>12</v>
      </c>
      <c r="D206">
        <v>4</v>
      </c>
      <c r="E206">
        <f t="shared" si="11"/>
        <v>4.4000000000000004</v>
      </c>
      <c r="F206" t="s">
        <v>18</v>
      </c>
      <c r="G206">
        <v>7312</v>
      </c>
      <c r="H206">
        <v>3.5</v>
      </c>
    </row>
    <row r="207" spans="1:8" x14ac:dyDescent="0.25">
      <c r="A207" t="s">
        <v>16</v>
      </c>
      <c r="B207" s="3" t="s">
        <v>24</v>
      </c>
      <c r="C207" t="s">
        <v>12</v>
      </c>
      <c r="D207">
        <v>4</v>
      </c>
      <c r="E207">
        <f t="shared" si="11"/>
        <v>4.4000000000000004</v>
      </c>
      <c r="F207" t="s">
        <v>19</v>
      </c>
      <c r="G207">
        <v>7312</v>
      </c>
      <c r="H207">
        <v>3.4</v>
      </c>
    </row>
    <row r="208" spans="1:8" x14ac:dyDescent="0.25">
      <c r="A208" t="s">
        <v>17</v>
      </c>
      <c r="B208" s="3" t="s">
        <v>24</v>
      </c>
      <c r="C208" t="s">
        <v>12</v>
      </c>
      <c r="D208">
        <v>4</v>
      </c>
      <c r="E208">
        <f t="shared" si="11"/>
        <v>4.4000000000000004</v>
      </c>
      <c r="F208" t="s">
        <v>32</v>
      </c>
      <c r="G208">
        <v>7312</v>
      </c>
      <c r="H208">
        <v>3.1666666666666665</v>
      </c>
    </row>
    <row r="209" spans="1:8" x14ac:dyDescent="0.25">
      <c r="A209" t="s">
        <v>16</v>
      </c>
      <c r="B209" s="3" t="s">
        <v>26</v>
      </c>
      <c r="C209" t="s">
        <v>8</v>
      </c>
      <c r="D209">
        <v>5</v>
      </c>
      <c r="E209">
        <f t="shared" si="11"/>
        <v>5</v>
      </c>
      <c r="F209" t="s">
        <v>18</v>
      </c>
      <c r="G209">
        <v>7312</v>
      </c>
      <c r="H209">
        <v>3.5</v>
      </c>
    </row>
    <row r="210" spans="1:8" x14ac:dyDescent="0.25">
      <c r="A210" t="s">
        <v>16</v>
      </c>
      <c r="B210" s="3" t="s">
        <v>26</v>
      </c>
      <c r="C210" t="s">
        <v>8</v>
      </c>
      <c r="D210">
        <v>5</v>
      </c>
      <c r="E210">
        <f t="shared" si="11"/>
        <v>5</v>
      </c>
      <c r="F210" t="s">
        <v>19</v>
      </c>
      <c r="G210">
        <v>7312</v>
      </c>
      <c r="H210">
        <v>3.6666666666666665</v>
      </c>
    </row>
    <row r="211" spans="1:8" x14ac:dyDescent="0.25">
      <c r="A211" t="s">
        <v>17</v>
      </c>
      <c r="B211" s="3" t="s">
        <v>26</v>
      </c>
      <c r="C211" t="s">
        <v>8</v>
      </c>
      <c r="D211">
        <v>5</v>
      </c>
      <c r="E211">
        <f t="shared" si="11"/>
        <v>5</v>
      </c>
      <c r="F211" t="s">
        <v>32</v>
      </c>
      <c r="G211">
        <v>7312</v>
      </c>
      <c r="H211">
        <v>2.3333333333333335</v>
      </c>
    </row>
    <row r="212" spans="1:8" x14ac:dyDescent="0.25">
      <c r="A212" t="s">
        <v>16</v>
      </c>
      <c r="B212" s="3" t="s">
        <v>28</v>
      </c>
      <c r="C212" t="s">
        <v>6</v>
      </c>
      <c r="D212">
        <v>6</v>
      </c>
      <c r="E212">
        <f t="shared" si="11"/>
        <v>5.6</v>
      </c>
      <c r="F212" t="s">
        <v>18</v>
      </c>
      <c r="G212">
        <v>7312</v>
      </c>
      <c r="H212">
        <v>2.8</v>
      </c>
    </row>
    <row r="213" spans="1:8" x14ac:dyDescent="0.25">
      <c r="A213" t="s">
        <v>16</v>
      </c>
      <c r="B213" s="3" t="s">
        <v>28</v>
      </c>
      <c r="C213" t="s">
        <v>6</v>
      </c>
      <c r="D213">
        <v>6</v>
      </c>
      <c r="E213">
        <f t="shared" si="11"/>
        <v>5.6</v>
      </c>
      <c r="F213" t="s">
        <v>19</v>
      </c>
      <c r="G213">
        <v>7312</v>
      </c>
      <c r="H213">
        <v>5.666666666666667</v>
      </c>
    </row>
    <row r="214" spans="1:8" x14ac:dyDescent="0.25">
      <c r="A214" t="s">
        <v>17</v>
      </c>
      <c r="B214" s="3" t="s">
        <v>28</v>
      </c>
      <c r="C214" t="s">
        <v>6</v>
      </c>
      <c r="D214">
        <v>6</v>
      </c>
      <c r="E214">
        <f t="shared" si="11"/>
        <v>5.6</v>
      </c>
      <c r="F214" t="s">
        <v>32</v>
      </c>
      <c r="G214">
        <v>7312</v>
      </c>
      <c r="H214">
        <v>2.8333333333333335</v>
      </c>
    </row>
    <row r="215" spans="1:8" x14ac:dyDescent="0.25">
      <c r="A215" t="s">
        <v>16</v>
      </c>
      <c r="B215" s="3" t="s">
        <v>30</v>
      </c>
      <c r="C215" t="s">
        <v>3</v>
      </c>
      <c r="D215">
        <v>8</v>
      </c>
      <c r="E215">
        <f t="shared" si="11"/>
        <v>6.8</v>
      </c>
      <c r="F215" t="s">
        <v>18</v>
      </c>
      <c r="G215">
        <v>7312</v>
      </c>
      <c r="H215">
        <v>2.6666666666666665</v>
      </c>
    </row>
    <row r="216" spans="1:8" x14ac:dyDescent="0.25">
      <c r="A216" t="s">
        <v>16</v>
      </c>
      <c r="B216" s="3" t="s">
        <v>30</v>
      </c>
      <c r="C216" t="s">
        <v>3</v>
      </c>
      <c r="D216">
        <v>8</v>
      </c>
      <c r="E216">
        <f t="shared" si="11"/>
        <v>6.8</v>
      </c>
      <c r="F216" t="s">
        <v>19</v>
      </c>
      <c r="G216">
        <v>7312</v>
      </c>
      <c r="H216">
        <v>3.8333333333333335</v>
      </c>
    </row>
    <row r="217" spans="1:8" x14ac:dyDescent="0.25">
      <c r="A217" t="s">
        <v>17</v>
      </c>
      <c r="B217" s="3" t="s">
        <v>30</v>
      </c>
      <c r="C217" t="s">
        <v>3</v>
      </c>
      <c r="D217">
        <v>8</v>
      </c>
      <c r="E217">
        <f t="shared" si="11"/>
        <v>6.8</v>
      </c>
      <c r="F217" t="s">
        <v>32</v>
      </c>
      <c r="G217">
        <v>7312</v>
      </c>
      <c r="H217">
        <v>3</v>
      </c>
    </row>
    <row r="218" spans="1:8" x14ac:dyDescent="0.25">
      <c r="A218" t="s">
        <v>16</v>
      </c>
      <c r="B218" s="2">
        <v>1</v>
      </c>
      <c r="C218" s="2">
        <v>1</v>
      </c>
      <c r="D218" s="1">
        <v>10</v>
      </c>
      <c r="E218">
        <v>2</v>
      </c>
      <c r="F218" t="s">
        <v>18</v>
      </c>
      <c r="G218">
        <v>7313</v>
      </c>
      <c r="H218">
        <v>14.666666666666666</v>
      </c>
    </row>
    <row r="219" spans="1:8" x14ac:dyDescent="0.25">
      <c r="A219" t="s">
        <v>16</v>
      </c>
      <c r="B219" s="2">
        <v>1</v>
      </c>
      <c r="C219" s="2">
        <v>1</v>
      </c>
      <c r="D219" s="1">
        <v>10</v>
      </c>
      <c r="E219">
        <v>8</v>
      </c>
      <c r="F219" t="s">
        <v>19</v>
      </c>
      <c r="G219">
        <v>7313</v>
      </c>
      <c r="H219">
        <v>77.400000000000006</v>
      </c>
    </row>
    <row r="220" spans="1:8" x14ac:dyDescent="0.25">
      <c r="A220" t="s">
        <v>16</v>
      </c>
      <c r="B220" s="2">
        <v>1</v>
      </c>
      <c r="C220" s="2">
        <v>1</v>
      </c>
      <c r="D220" s="1">
        <v>10</v>
      </c>
      <c r="E220">
        <v>5</v>
      </c>
      <c r="F220" t="s">
        <v>32</v>
      </c>
      <c r="G220">
        <v>7313</v>
      </c>
      <c r="H220">
        <v>44.666666666666664</v>
      </c>
    </row>
    <row r="221" spans="1:8" x14ac:dyDescent="0.25">
      <c r="A221" t="s">
        <v>16</v>
      </c>
      <c r="B221" s="3" t="s">
        <v>22</v>
      </c>
      <c r="C221" t="s">
        <v>10</v>
      </c>
      <c r="D221">
        <v>2</v>
      </c>
      <c r="E221">
        <f t="shared" ref="E221:E235" si="12">(D221*8+(10-D221)*2)/10</f>
        <v>3.2</v>
      </c>
      <c r="F221" t="s">
        <v>18</v>
      </c>
      <c r="G221">
        <v>7313</v>
      </c>
      <c r="H221">
        <v>22.8</v>
      </c>
    </row>
    <row r="222" spans="1:8" x14ac:dyDescent="0.25">
      <c r="A222" t="s">
        <v>16</v>
      </c>
      <c r="B222" s="3" t="s">
        <v>22</v>
      </c>
      <c r="C222" t="s">
        <v>10</v>
      </c>
      <c r="D222">
        <v>2</v>
      </c>
      <c r="E222">
        <f t="shared" si="12"/>
        <v>3.2</v>
      </c>
      <c r="F222" t="s">
        <v>19</v>
      </c>
      <c r="G222">
        <v>7313</v>
      </c>
      <c r="H222">
        <v>25.333333333333332</v>
      </c>
    </row>
    <row r="223" spans="1:8" x14ac:dyDescent="0.25">
      <c r="A223" t="s">
        <v>17</v>
      </c>
      <c r="B223" s="3" t="s">
        <v>22</v>
      </c>
      <c r="C223" t="s">
        <v>10</v>
      </c>
      <c r="D223">
        <v>2</v>
      </c>
      <c r="E223">
        <f t="shared" si="12"/>
        <v>3.2</v>
      </c>
      <c r="F223" t="s">
        <v>32</v>
      </c>
      <c r="G223">
        <v>7313</v>
      </c>
      <c r="H223">
        <v>11.833333333333334</v>
      </c>
    </row>
    <row r="224" spans="1:8" x14ac:dyDescent="0.25">
      <c r="A224" t="s">
        <v>16</v>
      </c>
      <c r="B224" s="3" t="s">
        <v>24</v>
      </c>
      <c r="C224" t="s">
        <v>12</v>
      </c>
      <c r="D224">
        <v>4</v>
      </c>
      <c r="E224">
        <f t="shared" si="12"/>
        <v>4.4000000000000004</v>
      </c>
      <c r="F224" t="s">
        <v>18</v>
      </c>
      <c r="G224">
        <v>7313</v>
      </c>
      <c r="H224">
        <v>20.666666666666668</v>
      </c>
    </row>
    <row r="225" spans="1:8" x14ac:dyDescent="0.25">
      <c r="A225" t="s">
        <v>16</v>
      </c>
      <c r="B225" s="3" t="s">
        <v>24</v>
      </c>
      <c r="C225" t="s">
        <v>12</v>
      </c>
      <c r="D225">
        <v>4</v>
      </c>
      <c r="E225">
        <f t="shared" si="12"/>
        <v>4.4000000000000004</v>
      </c>
      <c r="F225" t="s">
        <v>19</v>
      </c>
      <c r="G225">
        <v>7313</v>
      </c>
      <c r="H225">
        <v>39.666666666666664</v>
      </c>
    </row>
    <row r="226" spans="1:8" x14ac:dyDescent="0.25">
      <c r="A226" t="s">
        <v>17</v>
      </c>
      <c r="B226" s="3" t="s">
        <v>24</v>
      </c>
      <c r="C226" t="s">
        <v>12</v>
      </c>
      <c r="D226">
        <v>4</v>
      </c>
      <c r="E226">
        <f t="shared" si="12"/>
        <v>4.4000000000000004</v>
      </c>
      <c r="F226" t="s">
        <v>32</v>
      </c>
      <c r="G226">
        <v>7313</v>
      </c>
      <c r="H226">
        <v>24.166666666666668</v>
      </c>
    </row>
    <row r="227" spans="1:8" x14ac:dyDescent="0.25">
      <c r="A227" t="s">
        <v>16</v>
      </c>
      <c r="B227" s="3" t="s">
        <v>26</v>
      </c>
      <c r="C227" t="s">
        <v>8</v>
      </c>
      <c r="D227">
        <v>5</v>
      </c>
      <c r="E227">
        <f t="shared" si="12"/>
        <v>5</v>
      </c>
      <c r="F227" t="s">
        <v>18</v>
      </c>
      <c r="G227">
        <v>7313</v>
      </c>
      <c r="H227">
        <v>24.333333333333332</v>
      </c>
    </row>
    <row r="228" spans="1:8" x14ac:dyDescent="0.25">
      <c r="A228" t="s">
        <v>16</v>
      </c>
      <c r="B228" s="3" t="s">
        <v>26</v>
      </c>
      <c r="C228" t="s">
        <v>8</v>
      </c>
      <c r="D228">
        <v>5</v>
      </c>
      <c r="E228">
        <f t="shared" si="12"/>
        <v>5</v>
      </c>
      <c r="F228" t="s">
        <v>19</v>
      </c>
      <c r="G228">
        <v>7313</v>
      </c>
      <c r="H228">
        <v>27.833333333333332</v>
      </c>
    </row>
    <row r="229" spans="1:8" x14ac:dyDescent="0.25">
      <c r="A229" t="s">
        <v>17</v>
      </c>
      <c r="B229" s="3" t="s">
        <v>26</v>
      </c>
      <c r="C229" t="s">
        <v>8</v>
      </c>
      <c r="D229">
        <v>5</v>
      </c>
      <c r="E229">
        <f t="shared" si="12"/>
        <v>5</v>
      </c>
      <c r="F229" t="s">
        <v>32</v>
      </c>
      <c r="G229">
        <v>7313</v>
      </c>
      <c r="H229">
        <v>30.5</v>
      </c>
    </row>
    <row r="230" spans="1:8" x14ac:dyDescent="0.25">
      <c r="A230" t="s">
        <v>16</v>
      </c>
      <c r="B230" s="3" t="s">
        <v>28</v>
      </c>
      <c r="C230" t="s">
        <v>6</v>
      </c>
      <c r="D230">
        <v>6</v>
      </c>
      <c r="E230">
        <f t="shared" si="12"/>
        <v>5.6</v>
      </c>
      <c r="F230" t="s">
        <v>18</v>
      </c>
      <c r="G230">
        <v>7313</v>
      </c>
      <c r="H230">
        <v>15.5</v>
      </c>
    </row>
    <row r="231" spans="1:8" x14ac:dyDescent="0.25">
      <c r="A231" t="s">
        <v>16</v>
      </c>
      <c r="B231" s="3" t="s">
        <v>28</v>
      </c>
      <c r="C231" t="s">
        <v>6</v>
      </c>
      <c r="D231">
        <v>6</v>
      </c>
      <c r="E231">
        <f t="shared" si="12"/>
        <v>5.6</v>
      </c>
      <c r="F231" t="s">
        <v>19</v>
      </c>
      <c r="G231">
        <v>7313</v>
      </c>
      <c r="H231">
        <v>38.833333333333336</v>
      </c>
    </row>
    <row r="232" spans="1:8" x14ac:dyDescent="0.25">
      <c r="A232" t="s">
        <v>17</v>
      </c>
      <c r="B232" s="3" t="s">
        <v>28</v>
      </c>
      <c r="C232" t="s">
        <v>6</v>
      </c>
      <c r="D232">
        <v>6</v>
      </c>
      <c r="E232">
        <f t="shared" si="12"/>
        <v>5.6</v>
      </c>
      <c r="F232" t="s">
        <v>32</v>
      </c>
      <c r="G232">
        <v>7313</v>
      </c>
      <c r="H232">
        <v>24.666666666666668</v>
      </c>
    </row>
    <row r="233" spans="1:8" x14ac:dyDescent="0.25">
      <c r="A233" t="s">
        <v>16</v>
      </c>
      <c r="B233" s="3" t="s">
        <v>30</v>
      </c>
      <c r="C233" t="s">
        <v>3</v>
      </c>
      <c r="D233">
        <v>8</v>
      </c>
      <c r="E233">
        <f t="shared" si="12"/>
        <v>6.8</v>
      </c>
      <c r="F233" t="s">
        <v>18</v>
      </c>
      <c r="G233">
        <v>7313</v>
      </c>
      <c r="H233">
        <v>17.166666666666668</v>
      </c>
    </row>
    <row r="234" spans="1:8" x14ac:dyDescent="0.25">
      <c r="A234" t="s">
        <v>16</v>
      </c>
      <c r="B234" s="3" t="s">
        <v>30</v>
      </c>
      <c r="C234" t="s">
        <v>3</v>
      </c>
      <c r="D234">
        <v>8</v>
      </c>
      <c r="E234">
        <f t="shared" si="12"/>
        <v>6.8</v>
      </c>
      <c r="F234" t="s">
        <v>19</v>
      </c>
      <c r="G234">
        <v>7313</v>
      </c>
      <c r="H234">
        <v>51.666666666666664</v>
      </c>
    </row>
    <row r="235" spans="1:8" x14ac:dyDescent="0.25">
      <c r="A235" t="s">
        <v>17</v>
      </c>
      <c r="B235" s="3" t="s">
        <v>30</v>
      </c>
      <c r="C235" t="s">
        <v>3</v>
      </c>
      <c r="D235">
        <v>8</v>
      </c>
      <c r="E235">
        <f t="shared" si="12"/>
        <v>6.8</v>
      </c>
      <c r="F235" t="s">
        <v>32</v>
      </c>
      <c r="G235">
        <v>7313</v>
      </c>
      <c r="H235">
        <v>27.5</v>
      </c>
    </row>
    <row r="236" spans="1:8" x14ac:dyDescent="0.25">
      <c r="A236" t="s">
        <v>16</v>
      </c>
      <c r="B236" s="2">
        <v>1</v>
      </c>
      <c r="C236" s="2">
        <v>1</v>
      </c>
      <c r="D236" s="1">
        <v>10</v>
      </c>
      <c r="E236">
        <v>2</v>
      </c>
      <c r="F236" t="s">
        <v>18</v>
      </c>
      <c r="G236">
        <v>7314</v>
      </c>
      <c r="H236">
        <v>14.666666666666666</v>
      </c>
    </row>
    <row r="237" spans="1:8" x14ac:dyDescent="0.25">
      <c r="A237" t="s">
        <v>16</v>
      </c>
      <c r="B237" s="2">
        <v>1</v>
      </c>
      <c r="C237" s="2">
        <v>1</v>
      </c>
      <c r="D237" s="1">
        <v>10</v>
      </c>
      <c r="E237">
        <v>8</v>
      </c>
      <c r="F237" t="s">
        <v>19</v>
      </c>
      <c r="G237">
        <v>7314</v>
      </c>
      <c r="H237">
        <v>50</v>
      </c>
    </row>
    <row r="238" spans="1:8" x14ac:dyDescent="0.25">
      <c r="A238" t="s">
        <v>16</v>
      </c>
      <c r="B238" s="2">
        <v>1</v>
      </c>
      <c r="C238" s="2">
        <v>1</v>
      </c>
      <c r="D238" s="1">
        <v>10</v>
      </c>
      <c r="E238">
        <v>5</v>
      </c>
      <c r="F238" t="s">
        <v>32</v>
      </c>
      <c r="G238">
        <v>7314</v>
      </c>
      <c r="H238">
        <v>27</v>
      </c>
    </row>
    <row r="239" spans="1:8" x14ac:dyDescent="0.25">
      <c r="A239" t="s">
        <v>16</v>
      </c>
      <c r="B239" s="3" t="s">
        <v>22</v>
      </c>
      <c r="C239" t="s">
        <v>10</v>
      </c>
      <c r="D239">
        <v>2</v>
      </c>
      <c r="E239">
        <f t="shared" ref="E239:E253" si="13">(D239*8+(10-D239)*2)/10</f>
        <v>3.2</v>
      </c>
      <c r="F239" t="s">
        <v>18</v>
      </c>
      <c r="G239">
        <v>7314</v>
      </c>
      <c r="H239">
        <v>21.833333333333332</v>
      </c>
    </row>
    <row r="240" spans="1:8" x14ac:dyDescent="0.25">
      <c r="A240" t="s">
        <v>16</v>
      </c>
      <c r="B240" s="3" t="s">
        <v>22</v>
      </c>
      <c r="C240" t="s">
        <v>10</v>
      </c>
      <c r="D240">
        <v>2</v>
      </c>
      <c r="E240">
        <f t="shared" si="13"/>
        <v>3.2</v>
      </c>
      <c r="F240" t="s">
        <v>19</v>
      </c>
      <c r="G240">
        <v>7314</v>
      </c>
      <c r="H240">
        <v>39.166666666666664</v>
      </c>
    </row>
    <row r="241" spans="1:8" x14ac:dyDescent="0.25">
      <c r="A241" t="s">
        <v>17</v>
      </c>
      <c r="B241" s="3" t="s">
        <v>22</v>
      </c>
      <c r="C241" t="s">
        <v>10</v>
      </c>
      <c r="D241">
        <v>2</v>
      </c>
      <c r="E241">
        <f t="shared" si="13"/>
        <v>3.2</v>
      </c>
      <c r="F241" t="s">
        <v>32</v>
      </c>
      <c r="G241">
        <v>7314</v>
      </c>
      <c r="H241">
        <v>23.6</v>
      </c>
    </row>
    <row r="242" spans="1:8" x14ac:dyDescent="0.25">
      <c r="A242" t="s">
        <v>16</v>
      </c>
      <c r="B242" s="3" t="s">
        <v>24</v>
      </c>
      <c r="C242" t="s">
        <v>12</v>
      </c>
      <c r="D242">
        <v>4</v>
      </c>
      <c r="E242">
        <f t="shared" si="13"/>
        <v>4.4000000000000004</v>
      </c>
      <c r="F242" t="s">
        <v>18</v>
      </c>
      <c r="G242">
        <v>7314</v>
      </c>
      <c r="H242">
        <v>28.5</v>
      </c>
    </row>
    <row r="243" spans="1:8" x14ac:dyDescent="0.25">
      <c r="A243" t="s">
        <v>16</v>
      </c>
      <c r="B243" s="3" t="s">
        <v>24</v>
      </c>
      <c r="C243" t="s">
        <v>12</v>
      </c>
      <c r="D243">
        <v>4</v>
      </c>
      <c r="E243">
        <f t="shared" si="13"/>
        <v>4.4000000000000004</v>
      </c>
      <c r="F243" t="s">
        <v>19</v>
      </c>
      <c r="G243">
        <v>7314</v>
      </c>
      <c r="H243">
        <v>42.833333333333336</v>
      </c>
    </row>
    <row r="244" spans="1:8" x14ac:dyDescent="0.25">
      <c r="A244" t="s">
        <v>17</v>
      </c>
      <c r="B244" s="3" t="s">
        <v>24</v>
      </c>
      <c r="C244" t="s">
        <v>12</v>
      </c>
      <c r="D244">
        <v>4</v>
      </c>
      <c r="E244">
        <f t="shared" si="13"/>
        <v>4.4000000000000004</v>
      </c>
      <c r="F244" t="s">
        <v>32</v>
      </c>
      <c r="G244">
        <v>7314</v>
      </c>
      <c r="H244">
        <v>31.666666666666668</v>
      </c>
    </row>
    <row r="245" spans="1:8" x14ac:dyDescent="0.25">
      <c r="A245" t="s">
        <v>16</v>
      </c>
      <c r="B245" s="3" t="s">
        <v>26</v>
      </c>
      <c r="C245" t="s">
        <v>8</v>
      </c>
      <c r="D245">
        <v>5</v>
      </c>
      <c r="E245">
        <f t="shared" si="13"/>
        <v>5</v>
      </c>
      <c r="F245" t="s">
        <v>18</v>
      </c>
      <c r="G245">
        <v>7314</v>
      </c>
      <c r="H245">
        <v>31.2</v>
      </c>
    </row>
    <row r="246" spans="1:8" x14ac:dyDescent="0.25">
      <c r="A246" t="s">
        <v>16</v>
      </c>
      <c r="B246" s="3" t="s">
        <v>26</v>
      </c>
      <c r="C246" t="s">
        <v>8</v>
      </c>
      <c r="D246">
        <v>5</v>
      </c>
      <c r="E246">
        <f t="shared" si="13"/>
        <v>5</v>
      </c>
      <c r="F246" t="s">
        <v>19</v>
      </c>
      <c r="G246">
        <v>7314</v>
      </c>
      <c r="H246">
        <v>43.166666666666664</v>
      </c>
    </row>
    <row r="247" spans="1:8" x14ac:dyDescent="0.25">
      <c r="A247" t="s">
        <v>17</v>
      </c>
      <c r="B247" s="3" t="s">
        <v>26</v>
      </c>
      <c r="C247" t="s">
        <v>8</v>
      </c>
      <c r="D247">
        <v>5</v>
      </c>
      <c r="E247">
        <f t="shared" si="13"/>
        <v>5</v>
      </c>
      <c r="F247" t="s">
        <v>32</v>
      </c>
      <c r="G247">
        <v>7314</v>
      </c>
      <c r="H247">
        <v>37.833333333333336</v>
      </c>
    </row>
    <row r="248" spans="1:8" x14ac:dyDescent="0.25">
      <c r="A248" t="s">
        <v>16</v>
      </c>
      <c r="B248" s="3" t="s">
        <v>28</v>
      </c>
      <c r="C248" t="s">
        <v>6</v>
      </c>
      <c r="D248">
        <v>6</v>
      </c>
      <c r="E248">
        <f t="shared" si="13"/>
        <v>5.6</v>
      </c>
      <c r="F248" t="s">
        <v>18</v>
      </c>
      <c r="G248">
        <v>7314</v>
      </c>
      <c r="H248">
        <v>33.799999999999997</v>
      </c>
    </row>
    <row r="249" spans="1:8" x14ac:dyDescent="0.25">
      <c r="A249" t="s">
        <v>16</v>
      </c>
      <c r="B249" s="3" t="s">
        <v>28</v>
      </c>
      <c r="C249" t="s">
        <v>6</v>
      </c>
      <c r="D249">
        <v>6</v>
      </c>
      <c r="E249">
        <f t="shared" si="13"/>
        <v>5.6</v>
      </c>
      <c r="F249" t="s">
        <v>19</v>
      </c>
      <c r="G249">
        <v>7314</v>
      </c>
      <c r="H249">
        <v>44.833333333333336</v>
      </c>
    </row>
    <row r="250" spans="1:8" x14ac:dyDescent="0.25">
      <c r="A250" t="s">
        <v>17</v>
      </c>
      <c r="B250" s="3" t="s">
        <v>28</v>
      </c>
      <c r="C250" t="s">
        <v>6</v>
      </c>
      <c r="D250">
        <v>6</v>
      </c>
      <c r="E250">
        <f t="shared" si="13"/>
        <v>5.6</v>
      </c>
      <c r="F250" t="s">
        <v>32</v>
      </c>
      <c r="G250">
        <v>7314</v>
      </c>
      <c r="H250">
        <v>38.333333333333336</v>
      </c>
    </row>
    <row r="251" spans="1:8" x14ac:dyDescent="0.25">
      <c r="A251" t="s">
        <v>16</v>
      </c>
      <c r="B251" s="3" t="s">
        <v>30</v>
      </c>
      <c r="C251" t="s">
        <v>3</v>
      </c>
      <c r="D251">
        <v>8</v>
      </c>
      <c r="E251">
        <f t="shared" si="13"/>
        <v>6.8</v>
      </c>
      <c r="F251" t="s">
        <v>18</v>
      </c>
      <c r="G251">
        <v>7314</v>
      </c>
      <c r="H251">
        <v>37.166666666666664</v>
      </c>
    </row>
    <row r="252" spans="1:8" x14ac:dyDescent="0.25">
      <c r="A252" t="s">
        <v>16</v>
      </c>
      <c r="B252" s="3" t="s">
        <v>30</v>
      </c>
      <c r="C252" t="s">
        <v>3</v>
      </c>
      <c r="D252">
        <v>8</v>
      </c>
      <c r="E252">
        <f t="shared" si="13"/>
        <v>6.8</v>
      </c>
      <c r="F252" t="s">
        <v>19</v>
      </c>
      <c r="G252">
        <v>7314</v>
      </c>
      <c r="H252">
        <v>48.333333333333336</v>
      </c>
    </row>
    <row r="253" spans="1:8" x14ac:dyDescent="0.25">
      <c r="A253" t="s">
        <v>17</v>
      </c>
      <c r="B253" s="3" t="s">
        <v>30</v>
      </c>
      <c r="C253" t="s">
        <v>3</v>
      </c>
      <c r="D253">
        <v>8</v>
      </c>
      <c r="E253">
        <f t="shared" si="13"/>
        <v>6.8</v>
      </c>
      <c r="F253" t="s">
        <v>32</v>
      </c>
      <c r="G253">
        <v>7314</v>
      </c>
      <c r="H253">
        <v>42.833333333333336</v>
      </c>
    </row>
    <row r="254" spans="1:8" x14ac:dyDescent="0.25">
      <c r="A254" t="s">
        <v>16</v>
      </c>
      <c r="B254" s="2">
        <v>1</v>
      </c>
      <c r="C254" s="2">
        <v>1</v>
      </c>
      <c r="D254" s="1">
        <v>10</v>
      </c>
      <c r="E254">
        <v>2</v>
      </c>
      <c r="F254" t="s">
        <v>18</v>
      </c>
      <c r="G254">
        <v>7315</v>
      </c>
      <c r="H254">
        <v>60.833333333333336</v>
      </c>
    </row>
    <row r="255" spans="1:8" x14ac:dyDescent="0.25">
      <c r="A255" t="s">
        <v>16</v>
      </c>
      <c r="B255" s="2">
        <v>1</v>
      </c>
      <c r="C255" s="2">
        <v>1</v>
      </c>
      <c r="D255" s="1">
        <v>10</v>
      </c>
      <c r="E255">
        <v>8</v>
      </c>
      <c r="F255" t="s">
        <v>19</v>
      </c>
      <c r="G255">
        <v>7315</v>
      </c>
      <c r="H255">
        <v>90</v>
      </c>
    </row>
    <row r="256" spans="1:8" x14ac:dyDescent="0.25">
      <c r="A256" t="s">
        <v>16</v>
      </c>
      <c r="B256" s="2">
        <v>1</v>
      </c>
      <c r="C256" s="2">
        <v>1</v>
      </c>
      <c r="D256" s="1">
        <v>10</v>
      </c>
      <c r="E256">
        <v>5</v>
      </c>
      <c r="F256" t="s">
        <v>32</v>
      </c>
      <c r="G256">
        <v>7315</v>
      </c>
      <c r="H256">
        <v>75</v>
      </c>
    </row>
    <row r="257" spans="1:8" x14ac:dyDescent="0.25">
      <c r="A257" t="s">
        <v>16</v>
      </c>
      <c r="B257" s="3" t="s">
        <v>22</v>
      </c>
      <c r="C257" t="s">
        <v>10</v>
      </c>
      <c r="D257">
        <v>2</v>
      </c>
      <c r="E257">
        <f t="shared" ref="E257:E271" si="14">(D257*8+(10-D257)*2)/10</f>
        <v>3.2</v>
      </c>
      <c r="F257" t="s">
        <v>18</v>
      </c>
      <c r="G257">
        <v>7315</v>
      </c>
      <c r="H257">
        <v>65.666666666666671</v>
      </c>
    </row>
    <row r="258" spans="1:8" x14ac:dyDescent="0.25">
      <c r="A258" t="s">
        <v>16</v>
      </c>
      <c r="B258" s="3" t="s">
        <v>22</v>
      </c>
      <c r="C258" t="s">
        <v>10</v>
      </c>
      <c r="D258">
        <v>2</v>
      </c>
      <c r="E258">
        <f t="shared" si="14"/>
        <v>3.2</v>
      </c>
      <c r="F258" t="s">
        <v>19</v>
      </c>
      <c r="G258">
        <v>7315</v>
      </c>
      <c r="H258">
        <v>70.833333333333329</v>
      </c>
    </row>
    <row r="259" spans="1:8" x14ac:dyDescent="0.25">
      <c r="A259" t="s">
        <v>17</v>
      </c>
      <c r="B259" s="3" t="s">
        <v>22</v>
      </c>
      <c r="C259" t="s">
        <v>10</v>
      </c>
      <c r="D259">
        <v>2</v>
      </c>
      <c r="E259">
        <f t="shared" si="14"/>
        <v>3.2</v>
      </c>
      <c r="F259" t="s">
        <v>32</v>
      </c>
      <c r="G259">
        <v>7315</v>
      </c>
      <c r="H259">
        <v>66.166666666666671</v>
      </c>
    </row>
    <row r="260" spans="1:8" x14ac:dyDescent="0.25">
      <c r="A260" t="s">
        <v>16</v>
      </c>
      <c r="B260" s="3" t="s">
        <v>24</v>
      </c>
      <c r="C260" t="s">
        <v>12</v>
      </c>
      <c r="D260">
        <v>4</v>
      </c>
      <c r="E260">
        <f t="shared" si="14"/>
        <v>4.4000000000000004</v>
      </c>
      <c r="F260" t="s">
        <v>18</v>
      </c>
      <c r="G260">
        <v>7315</v>
      </c>
      <c r="H260">
        <v>71.666666666666671</v>
      </c>
    </row>
    <row r="261" spans="1:8" x14ac:dyDescent="0.25">
      <c r="A261" t="s">
        <v>16</v>
      </c>
      <c r="B261" s="3" t="s">
        <v>24</v>
      </c>
      <c r="C261" t="s">
        <v>12</v>
      </c>
      <c r="D261">
        <v>4</v>
      </c>
      <c r="E261">
        <f t="shared" si="14"/>
        <v>4.4000000000000004</v>
      </c>
      <c r="F261" t="s">
        <v>19</v>
      </c>
      <c r="G261">
        <v>7315</v>
      </c>
      <c r="H261">
        <v>74.666666666666671</v>
      </c>
    </row>
    <row r="262" spans="1:8" x14ac:dyDescent="0.25">
      <c r="A262" t="s">
        <v>17</v>
      </c>
      <c r="B262" s="3" t="s">
        <v>24</v>
      </c>
      <c r="C262" t="s">
        <v>12</v>
      </c>
      <c r="D262">
        <v>4</v>
      </c>
      <c r="E262">
        <f t="shared" si="14"/>
        <v>4.4000000000000004</v>
      </c>
      <c r="F262" t="s">
        <v>32</v>
      </c>
      <c r="G262">
        <v>7315</v>
      </c>
      <c r="H262">
        <v>72.166666666666671</v>
      </c>
    </row>
    <row r="263" spans="1:8" x14ac:dyDescent="0.25">
      <c r="A263" t="s">
        <v>16</v>
      </c>
      <c r="B263" s="3" t="s">
        <v>26</v>
      </c>
      <c r="C263" t="s">
        <v>8</v>
      </c>
      <c r="D263">
        <v>5</v>
      </c>
      <c r="E263">
        <f t="shared" si="14"/>
        <v>5</v>
      </c>
      <c r="F263" t="s">
        <v>18</v>
      </c>
      <c r="G263">
        <v>7315</v>
      </c>
      <c r="H263">
        <v>74</v>
      </c>
    </row>
    <row r="264" spans="1:8" x14ac:dyDescent="0.25">
      <c r="A264" t="s">
        <v>16</v>
      </c>
      <c r="B264" s="3" t="s">
        <v>26</v>
      </c>
      <c r="C264" t="s">
        <v>8</v>
      </c>
      <c r="D264">
        <v>5</v>
      </c>
      <c r="E264">
        <f t="shared" si="14"/>
        <v>5</v>
      </c>
      <c r="F264" t="s">
        <v>19</v>
      </c>
      <c r="G264">
        <v>7315</v>
      </c>
      <c r="H264">
        <v>75.5</v>
      </c>
    </row>
    <row r="265" spans="1:8" x14ac:dyDescent="0.25">
      <c r="A265" t="s">
        <v>17</v>
      </c>
      <c r="B265" s="3" t="s">
        <v>26</v>
      </c>
      <c r="C265" t="s">
        <v>8</v>
      </c>
      <c r="D265">
        <v>5</v>
      </c>
      <c r="E265">
        <f t="shared" si="14"/>
        <v>5</v>
      </c>
      <c r="F265" t="s">
        <v>32</v>
      </c>
      <c r="G265">
        <v>7315</v>
      </c>
      <c r="H265">
        <v>74</v>
      </c>
    </row>
    <row r="266" spans="1:8" x14ac:dyDescent="0.25">
      <c r="A266" t="s">
        <v>16</v>
      </c>
      <c r="B266" s="3" t="s">
        <v>28</v>
      </c>
      <c r="C266" t="s">
        <v>6</v>
      </c>
      <c r="D266">
        <v>6</v>
      </c>
      <c r="E266">
        <f t="shared" si="14"/>
        <v>5.6</v>
      </c>
      <c r="F266" t="s">
        <v>18</v>
      </c>
      <c r="G266">
        <v>7315</v>
      </c>
      <c r="H266">
        <v>73.5</v>
      </c>
    </row>
    <row r="267" spans="1:8" x14ac:dyDescent="0.25">
      <c r="A267" t="s">
        <v>16</v>
      </c>
      <c r="B267" s="3" t="s">
        <v>28</v>
      </c>
      <c r="C267" t="s">
        <v>6</v>
      </c>
      <c r="D267">
        <v>6</v>
      </c>
      <c r="E267">
        <f t="shared" si="14"/>
        <v>5.6</v>
      </c>
      <c r="F267" t="s">
        <v>19</v>
      </c>
      <c r="G267">
        <v>7315</v>
      </c>
      <c r="H267">
        <v>76.833333333333329</v>
      </c>
    </row>
    <row r="268" spans="1:8" x14ac:dyDescent="0.25">
      <c r="A268" t="s">
        <v>17</v>
      </c>
      <c r="B268" s="3" t="s">
        <v>28</v>
      </c>
      <c r="C268" t="s">
        <v>6</v>
      </c>
      <c r="D268">
        <v>6</v>
      </c>
      <c r="E268">
        <f t="shared" si="14"/>
        <v>5.6</v>
      </c>
      <c r="F268" t="s">
        <v>32</v>
      </c>
      <c r="G268">
        <v>7315</v>
      </c>
      <c r="H268">
        <v>75.333333333333329</v>
      </c>
    </row>
    <row r="269" spans="1:8" x14ac:dyDescent="0.25">
      <c r="A269" t="s">
        <v>16</v>
      </c>
      <c r="B269" s="3" t="s">
        <v>30</v>
      </c>
      <c r="C269" t="s">
        <v>3</v>
      </c>
      <c r="D269">
        <v>8</v>
      </c>
      <c r="E269">
        <f t="shared" si="14"/>
        <v>6.8</v>
      </c>
      <c r="F269" t="s">
        <v>18</v>
      </c>
      <c r="G269">
        <v>7315</v>
      </c>
      <c r="H269">
        <v>76.833333333333329</v>
      </c>
    </row>
    <row r="270" spans="1:8" x14ac:dyDescent="0.25">
      <c r="A270" t="s">
        <v>16</v>
      </c>
      <c r="B270" s="3" t="s">
        <v>30</v>
      </c>
      <c r="C270" t="s">
        <v>3</v>
      </c>
      <c r="D270">
        <v>8</v>
      </c>
      <c r="E270">
        <f t="shared" si="14"/>
        <v>6.8</v>
      </c>
      <c r="F270" t="s">
        <v>19</v>
      </c>
      <c r="G270">
        <v>7315</v>
      </c>
      <c r="H270">
        <v>82.5</v>
      </c>
    </row>
    <row r="271" spans="1:8" x14ac:dyDescent="0.25">
      <c r="A271" t="s">
        <v>17</v>
      </c>
      <c r="B271" s="3" t="s">
        <v>30</v>
      </c>
      <c r="C271" t="s">
        <v>3</v>
      </c>
      <c r="D271">
        <v>8</v>
      </c>
      <c r="E271">
        <f t="shared" si="14"/>
        <v>6.8</v>
      </c>
      <c r="F271" t="s">
        <v>32</v>
      </c>
      <c r="G271">
        <v>7315</v>
      </c>
      <c r="H271">
        <v>81.666666666666671</v>
      </c>
    </row>
    <row r="272" spans="1:8" x14ac:dyDescent="0.25">
      <c r="A272" t="s">
        <v>16</v>
      </c>
      <c r="B272" s="2">
        <v>1</v>
      </c>
      <c r="C272" s="2">
        <v>1</v>
      </c>
      <c r="D272" s="1">
        <v>10</v>
      </c>
      <c r="E272">
        <v>2</v>
      </c>
      <c r="F272" t="s">
        <v>18</v>
      </c>
      <c r="G272">
        <v>7316</v>
      </c>
      <c r="H272">
        <v>20</v>
      </c>
    </row>
    <row r="273" spans="1:8" x14ac:dyDescent="0.25">
      <c r="A273" t="s">
        <v>16</v>
      </c>
      <c r="B273" s="2">
        <v>1</v>
      </c>
      <c r="C273" s="2">
        <v>1</v>
      </c>
      <c r="D273" s="1">
        <v>10</v>
      </c>
      <c r="E273">
        <v>8</v>
      </c>
      <c r="F273" t="s">
        <v>19</v>
      </c>
      <c r="G273">
        <v>7316</v>
      </c>
      <c r="H273">
        <v>59.166666666666664</v>
      </c>
    </row>
    <row r="274" spans="1:8" x14ac:dyDescent="0.25">
      <c r="A274" t="s">
        <v>16</v>
      </c>
      <c r="B274" s="2">
        <v>1</v>
      </c>
      <c r="C274" s="2">
        <v>1</v>
      </c>
      <c r="D274" s="1">
        <v>10</v>
      </c>
      <c r="E274">
        <v>5</v>
      </c>
      <c r="F274" t="s">
        <v>32</v>
      </c>
      <c r="G274">
        <v>7316</v>
      </c>
      <c r="H274">
        <v>40.833333333333336</v>
      </c>
    </row>
    <row r="275" spans="1:8" x14ac:dyDescent="0.25">
      <c r="A275" t="s">
        <v>16</v>
      </c>
      <c r="B275" s="3" t="s">
        <v>22</v>
      </c>
      <c r="C275" t="s">
        <v>10</v>
      </c>
      <c r="D275">
        <v>2</v>
      </c>
      <c r="E275">
        <f t="shared" ref="E275:E289" si="15">(D275*8+(10-D275)*2)/10</f>
        <v>3.2</v>
      </c>
      <c r="F275" t="s">
        <v>18</v>
      </c>
      <c r="G275">
        <v>7316</v>
      </c>
      <c r="H275">
        <v>30.166666666666668</v>
      </c>
    </row>
    <row r="276" spans="1:8" x14ac:dyDescent="0.25">
      <c r="A276" t="s">
        <v>16</v>
      </c>
      <c r="B276" s="3" t="s">
        <v>22</v>
      </c>
      <c r="C276" t="s">
        <v>10</v>
      </c>
      <c r="D276">
        <v>2</v>
      </c>
      <c r="E276">
        <f t="shared" si="15"/>
        <v>3.2</v>
      </c>
      <c r="F276" t="s">
        <v>19</v>
      </c>
      <c r="G276">
        <v>7316</v>
      </c>
      <c r="H276">
        <v>30</v>
      </c>
    </row>
    <row r="277" spans="1:8" x14ac:dyDescent="0.25">
      <c r="A277" t="s">
        <v>17</v>
      </c>
      <c r="B277" s="3" t="s">
        <v>22</v>
      </c>
      <c r="C277" t="s">
        <v>10</v>
      </c>
      <c r="D277">
        <v>2</v>
      </c>
      <c r="E277">
        <f t="shared" si="15"/>
        <v>3.2</v>
      </c>
      <c r="F277" t="s">
        <v>32</v>
      </c>
      <c r="G277">
        <v>7316</v>
      </c>
      <c r="H277">
        <v>29.166666666666668</v>
      </c>
    </row>
    <row r="278" spans="1:8" x14ac:dyDescent="0.25">
      <c r="A278" t="s">
        <v>16</v>
      </c>
      <c r="B278" s="3" t="s">
        <v>24</v>
      </c>
      <c r="C278" t="s">
        <v>12</v>
      </c>
      <c r="D278">
        <v>4</v>
      </c>
      <c r="E278">
        <f t="shared" si="15"/>
        <v>4.4000000000000004</v>
      </c>
      <c r="F278" t="s">
        <v>18</v>
      </c>
      <c r="G278">
        <v>7316</v>
      </c>
      <c r="H278">
        <v>35</v>
      </c>
    </row>
    <row r="279" spans="1:8" x14ac:dyDescent="0.25">
      <c r="A279" t="s">
        <v>16</v>
      </c>
      <c r="B279" s="3" t="s">
        <v>24</v>
      </c>
      <c r="C279" t="s">
        <v>12</v>
      </c>
      <c r="D279">
        <v>4</v>
      </c>
      <c r="E279">
        <f t="shared" si="15"/>
        <v>4.4000000000000004</v>
      </c>
      <c r="F279" t="s">
        <v>19</v>
      </c>
      <c r="G279">
        <v>7316</v>
      </c>
      <c r="H279">
        <v>36.666666666666664</v>
      </c>
    </row>
    <row r="280" spans="1:8" x14ac:dyDescent="0.25">
      <c r="A280" t="s">
        <v>17</v>
      </c>
      <c r="B280" s="3" t="s">
        <v>24</v>
      </c>
      <c r="C280" t="s">
        <v>12</v>
      </c>
      <c r="D280">
        <v>4</v>
      </c>
      <c r="E280">
        <f t="shared" si="15"/>
        <v>4.4000000000000004</v>
      </c>
      <c r="F280" t="s">
        <v>32</v>
      </c>
      <c r="G280">
        <v>7316</v>
      </c>
      <c r="H280">
        <v>36.666666666666664</v>
      </c>
    </row>
    <row r="281" spans="1:8" x14ac:dyDescent="0.25">
      <c r="A281" t="s">
        <v>16</v>
      </c>
      <c r="B281" s="3" t="s">
        <v>26</v>
      </c>
      <c r="C281" t="s">
        <v>8</v>
      </c>
      <c r="D281">
        <v>5</v>
      </c>
      <c r="E281">
        <f t="shared" si="15"/>
        <v>5</v>
      </c>
      <c r="F281" t="s">
        <v>18</v>
      </c>
      <c r="G281">
        <v>7316</v>
      </c>
      <c r="H281">
        <v>40</v>
      </c>
    </row>
    <row r="282" spans="1:8" x14ac:dyDescent="0.25">
      <c r="A282" t="s">
        <v>16</v>
      </c>
      <c r="B282" s="3" t="s">
        <v>26</v>
      </c>
      <c r="C282" t="s">
        <v>8</v>
      </c>
      <c r="D282">
        <v>5</v>
      </c>
      <c r="E282">
        <f t="shared" si="15"/>
        <v>5</v>
      </c>
      <c r="F282" t="s">
        <v>19</v>
      </c>
      <c r="G282">
        <v>7316</v>
      </c>
      <c r="H282">
        <v>40</v>
      </c>
    </row>
    <row r="283" spans="1:8" x14ac:dyDescent="0.25">
      <c r="A283" t="s">
        <v>17</v>
      </c>
      <c r="B283" s="3" t="s">
        <v>26</v>
      </c>
      <c r="C283" t="s">
        <v>8</v>
      </c>
      <c r="D283">
        <v>5</v>
      </c>
      <c r="E283">
        <f t="shared" si="15"/>
        <v>5</v>
      </c>
      <c r="F283" t="s">
        <v>32</v>
      </c>
      <c r="G283">
        <v>7316</v>
      </c>
      <c r="H283">
        <v>40</v>
      </c>
    </row>
    <row r="284" spans="1:8" x14ac:dyDescent="0.25">
      <c r="A284" t="s">
        <v>16</v>
      </c>
      <c r="B284" s="3" t="s">
        <v>28</v>
      </c>
      <c r="C284" t="s">
        <v>6</v>
      </c>
      <c r="D284">
        <v>6</v>
      </c>
      <c r="E284">
        <f t="shared" si="15"/>
        <v>5.6</v>
      </c>
      <c r="F284" t="s">
        <v>18</v>
      </c>
      <c r="G284">
        <v>7316</v>
      </c>
      <c r="H284">
        <v>43.333333333333336</v>
      </c>
    </row>
    <row r="285" spans="1:8" x14ac:dyDescent="0.25">
      <c r="A285" t="s">
        <v>16</v>
      </c>
      <c r="B285" s="3" t="s">
        <v>28</v>
      </c>
      <c r="C285" t="s">
        <v>6</v>
      </c>
      <c r="D285">
        <v>6</v>
      </c>
      <c r="E285">
        <f t="shared" si="15"/>
        <v>5.6</v>
      </c>
      <c r="F285" t="s">
        <v>19</v>
      </c>
      <c r="G285">
        <v>7316</v>
      </c>
      <c r="H285">
        <v>42.5</v>
      </c>
    </row>
    <row r="286" spans="1:8" x14ac:dyDescent="0.25">
      <c r="A286" t="s">
        <v>17</v>
      </c>
      <c r="B286" s="3" t="s">
        <v>28</v>
      </c>
      <c r="C286" t="s">
        <v>6</v>
      </c>
      <c r="D286">
        <v>6</v>
      </c>
      <c r="E286">
        <f t="shared" si="15"/>
        <v>5.6</v>
      </c>
      <c r="F286" t="s">
        <v>32</v>
      </c>
      <c r="G286">
        <v>7316</v>
      </c>
      <c r="H286">
        <v>41</v>
      </c>
    </row>
    <row r="287" spans="1:8" x14ac:dyDescent="0.25">
      <c r="A287" t="s">
        <v>16</v>
      </c>
      <c r="B287" s="3" t="s">
        <v>30</v>
      </c>
      <c r="C287" t="s">
        <v>3</v>
      </c>
      <c r="D287">
        <v>8</v>
      </c>
      <c r="E287">
        <f t="shared" si="15"/>
        <v>6.8</v>
      </c>
      <c r="F287" t="s">
        <v>18</v>
      </c>
      <c r="G287">
        <v>7316</v>
      </c>
      <c r="H287">
        <v>50</v>
      </c>
    </row>
    <row r="288" spans="1:8" x14ac:dyDescent="0.25">
      <c r="A288" t="s">
        <v>16</v>
      </c>
      <c r="B288" s="3" t="s">
        <v>30</v>
      </c>
      <c r="C288" t="s">
        <v>3</v>
      </c>
      <c r="D288">
        <v>8</v>
      </c>
      <c r="E288">
        <f t="shared" si="15"/>
        <v>6.8</v>
      </c>
      <c r="F288" t="s">
        <v>19</v>
      </c>
      <c r="G288">
        <v>7316</v>
      </c>
      <c r="H288">
        <v>50</v>
      </c>
    </row>
    <row r="289" spans="1:8" x14ac:dyDescent="0.25">
      <c r="A289" t="s">
        <v>17</v>
      </c>
      <c r="B289" s="3" t="s">
        <v>30</v>
      </c>
      <c r="C289" t="s">
        <v>3</v>
      </c>
      <c r="D289">
        <v>8</v>
      </c>
      <c r="E289">
        <f t="shared" si="15"/>
        <v>6.8</v>
      </c>
      <c r="F289" t="s">
        <v>32</v>
      </c>
      <c r="G289">
        <v>7316</v>
      </c>
      <c r="H289">
        <v>50</v>
      </c>
    </row>
    <row r="290" spans="1:8" x14ac:dyDescent="0.25">
      <c r="A290" t="s">
        <v>16</v>
      </c>
      <c r="B290" s="2">
        <v>1</v>
      </c>
      <c r="C290" s="2">
        <v>1</v>
      </c>
      <c r="D290" s="1">
        <v>10</v>
      </c>
      <c r="E290">
        <v>2</v>
      </c>
      <c r="F290" t="s">
        <v>18</v>
      </c>
      <c r="G290">
        <v>7317</v>
      </c>
      <c r="H290">
        <v>29.166666666666668</v>
      </c>
    </row>
    <row r="291" spans="1:8" x14ac:dyDescent="0.25">
      <c r="A291" t="s">
        <v>16</v>
      </c>
      <c r="B291" s="2">
        <v>1</v>
      </c>
      <c r="C291" s="2">
        <v>1</v>
      </c>
      <c r="D291" s="1">
        <v>10</v>
      </c>
      <c r="E291">
        <v>8</v>
      </c>
      <c r="F291" t="s">
        <v>19</v>
      </c>
      <c r="G291">
        <v>7317</v>
      </c>
      <c r="H291">
        <v>62.5</v>
      </c>
    </row>
    <row r="292" spans="1:8" x14ac:dyDescent="0.25">
      <c r="A292" t="s">
        <v>16</v>
      </c>
      <c r="B292" s="2">
        <v>1</v>
      </c>
      <c r="C292" s="2">
        <v>1</v>
      </c>
      <c r="D292" s="1">
        <v>10</v>
      </c>
      <c r="E292">
        <v>5</v>
      </c>
      <c r="F292" t="s">
        <v>32</v>
      </c>
      <c r="G292">
        <v>7317</v>
      </c>
      <c r="H292">
        <v>50</v>
      </c>
    </row>
    <row r="293" spans="1:8" x14ac:dyDescent="0.25">
      <c r="A293" t="s">
        <v>16</v>
      </c>
      <c r="B293" s="3" t="s">
        <v>22</v>
      </c>
      <c r="C293" t="s">
        <v>10</v>
      </c>
      <c r="D293">
        <v>2</v>
      </c>
      <c r="E293">
        <f t="shared" ref="E293:E307" si="16">(D293*8+(10-D293)*2)/10</f>
        <v>3.2</v>
      </c>
      <c r="F293" t="s">
        <v>18</v>
      </c>
      <c r="G293">
        <v>7317</v>
      </c>
      <c r="H293">
        <v>20</v>
      </c>
    </row>
    <row r="294" spans="1:8" x14ac:dyDescent="0.25">
      <c r="A294" t="s">
        <v>16</v>
      </c>
      <c r="B294" s="3" t="s">
        <v>22</v>
      </c>
      <c r="C294" t="s">
        <v>10</v>
      </c>
      <c r="D294">
        <v>2</v>
      </c>
      <c r="E294">
        <f t="shared" si="16"/>
        <v>3.2</v>
      </c>
      <c r="F294" t="s">
        <v>19</v>
      </c>
      <c r="G294">
        <v>7317</v>
      </c>
      <c r="H294">
        <v>40</v>
      </c>
    </row>
    <row r="295" spans="1:8" x14ac:dyDescent="0.25">
      <c r="A295" t="s">
        <v>17</v>
      </c>
      <c r="B295" s="3" t="s">
        <v>22</v>
      </c>
      <c r="C295" t="s">
        <v>10</v>
      </c>
      <c r="D295">
        <v>2</v>
      </c>
      <c r="E295">
        <f t="shared" si="16"/>
        <v>3.2</v>
      </c>
      <c r="F295" t="s">
        <v>32</v>
      </c>
      <c r="G295">
        <v>7317</v>
      </c>
      <c r="H295">
        <v>28.333333333333332</v>
      </c>
    </row>
    <row r="296" spans="1:8" x14ac:dyDescent="0.25">
      <c r="A296" t="s">
        <v>16</v>
      </c>
      <c r="B296" s="3" t="s">
        <v>24</v>
      </c>
      <c r="C296" t="s">
        <v>12</v>
      </c>
      <c r="D296">
        <v>4</v>
      </c>
      <c r="E296">
        <f t="shared" si="16"/>
        <v>4.4000000000000004</v>
      </c>
      <c r="F296" t="s">
        <v>18</v>
      </c>
      <c r="G296">
        <v>7317</v>
      </c>
      <c r="H296">
        <v>28.333333333333332</v>
      </c>
    </row>
    <row r="297" spans="1:8" x14ac:dyDescent="0.25">
      <c r="A297" t="s">
        <v>16</v>
      </c>
      <c r="B297" s="3" t="s">
        <v>24</v>
      </c>
      <c r="C297" t="s">
        <v>12</v>
      </c>
      <c r="D297">
        <v>4</v>
      </c>
      <c r="E297">
        <f t="shared" si="16"/>
        <v>4.4000000000000004</v>
      </c>
      <c r="F297" t="s">
        <v>19</v>
      </c>
      <c r="G297">
        <v>7317</v>
      </c>
      <c r="H297">
        <v>41.666666666666664</v>
      </c>
    </row>
    <row r="298" spans="1:8" x14ac:dyDescent="0.25">
      <c r="A298" t="s">
        <v>17</v>
      </c>
      <c r="B298" s="3" t="s">
        <v>24</v>
      </c>
      <c r="C298" t="s">
        <v>12</v>
      </c>
      <c r="D298">
        <v>4</v>
      </c>
      <c r="E298">
        <f t="shared" si="16"/>
        <v>4.4000000000000004</v>
      </c>
      <c r="F298" t="s">
        <v>32</v>
      </c>
      <c r="G298">
        <v>7317</v>
      </c>
      <c r="H298">
        <v>37.5</v>
      </c>
    </row>
    <row r="299" spans="1:8" x14ac:dyDescent="0.25">
      <c r="A299" t="s">
        <v>16</v>
      </c>
      <c r="B299" s="3" t="s">
        <v>26</v>
      </c>
      <c r="C299" t="s">
        <v>8</v>
      </c>
      <c r="D299">
        <v>5</v>
      </c>
      <c r="E299">
        <f t="shared" si="16"/>
        <v>5</v>
      </c>
      <c r="F299" t="s">
        <v>18</v>
      </c>
      <c r="G299">
        <v>7317</v>
      </c>
      <c r="H299">
        <v>30.833333333333332</v>
      </c>
    </row>
    <row r="300" spans="1:8" x14ac:dyDescent="0.25">
      <c r="A300" t="s">
        <v>16</v>
      </c>
      <c r="B300" s="3" t="s">
        <v>26</v>
      </c>
      <c r="C300" t="s">
        <v>8</v>
      </c>
      <c r="D300">
        <v>5</v>
      </c>
      <c r="E300">
        <f t="shared" si="16"/>
        <v>5</v>
      </c>
      <c r="F300" t="s">
        <v>19</v>
      </c>
      <c r="G300">
        <v>7317</v>
      </c>
      <c r="H300">
        <v>56.666666666666664</v>
      </c>
    </row>
    <row r="301" spans="1:8" x14ac:dyDescent="0.25">
      <c r="A301" t="s">
        <v>17</v>
      </c>
      <c r="B301" s="3" t="s">
        <v>26</v>
      </c>
      <c r="C301" t="s">
        <v>8</v>
      </c>
      <c r="D301">
        <v>5</v>
      </c>
      <c r="E301">
        <f t="shared" si="16"/>
        <v>5</v>
      </c>
      <c r="F301" t="s">
        <v>32</v>
      </c>
      <c r="G301">
        <v>7317</v>
      </c>
      <c r="H301">
        <v>46.666666666666664</v>
      </c>
    </row>
    <row r="302" spans="1:8" x14ac:dyDescent="0.25">
      <c r="A302" t="s">
        <v>16</v>
      </c>
      <c r="B302" s="3" t="s">
        <v>28</v>
      </c>
      <c r="C302" t="s">
        <v>6</v>
      </c>
      <c r="D302">
        <v>6</v>
      </c>
      <c r="E302">
        <f t="shared" si="16"/>
        <v>5.6</v>
      </c>
      <c r="F302" t="s">
        <v>18</v>
      </c>
      <c r="G302">
        <v>7317</v>
      </c>
      <c r="H302">
        <v>32.5</v>
      </c>
    </row>
    <row r="303" spans="1:8" x14ac:dyDescent="0.25">
      <c r="A303" t="s">
        <v>16</v>
      </c>
      <c r="B303" s="3" t="s">
        <v>28</v>
      </c>
      <c r="C303" t="s">
        <v>6</v>
      </c>
      <c r="D303">
        <v>6</v>
      </c>
      <c r="E303">
        <f t="shared" si="16"/>
        <v>5.6</v>
      </c>
      <c r="F303" t="s">
        <v>19</v>
      </c>
      <c r="G303">
        <v>7317</v>
      </c>
      <c r="H303">
        <v>55.5</v>
      </c>
    </row>
    <row r="304" spans="1:8" x14ac:dyDescent="0.25">
      <c r="A304" t="s">
        <v>17</v>
      </c>
      <c r="B304" s="3" t="s">
        <v>28</v>
      </c>
      <c r="C304" t="s">
        <v>6</v>
      </c>
      <c r="D304">
        <v>6</v>
      </c>
      <c r="E304">
        <f t="shared" si="16"/>
        <v>5.6</v>
      </c>
      <c r="F304" t="s">
        <v>32</v>
      </c>
      <c r="G304">
        <v>7317</v>
      </c>
      <c r="H304">
        <v>52.5</v>
      </c>
    </row>
    <row r="305" spans="1:8" x14ac:dyDescent="0.25">
      <c r="A305" t="s">
        <v>16</v>
      </c>
      <c r="B305" s="3" t="s">
        <v>30</v>
      </c>
      <c r="C305" t="s">
        <v>3</v>
      </c>
      <c r="D305">
        <v>8</v>
      </c>
      <c r="E305">
        <f t="shared" si="16"/>
        <v>6.8</v>
      </c>
      <c r="F305" t="s">
        <v>18</v>
      </c>
      <c r="G305">
        <v>7317</v>
      </c>
      <c r="H305">
        <v>37</v>
      </c>
    </row>
    <row r="306" spans="1:8" x14ac:dyDescent="0.25">
      <c r="A306" t="s">
        <v>16</v>
      </c>
      <c r="B306" s="3" t="s">
        <v>30</v>
      </c>
      <c r="C306" t="s">
        <v>3</v>
      </c>
      <c r="D306">
        <v>8</v>
      </c>
      <c r="E306">
        <f t="shared" si="16"/>
        <v>6.8</v>
      </c>
      <c r="F306" t="s">
        <v>19</v>
      </c>
      <c r="G306">
        <v>7317</v>
      </c>
      <c r="H306">
        <v>58.333333333333336</v>
      </c>
    </row>
    <row r="307" spans="1:8" x14ac:dyDescent="0.25">
      <c r="A307" t="s">
        <v>17</v>
      </c>
      <c r="B307" s="3" t="s">
        <v>30</v>
      </c>
      <c r="C307" t="s">
        <v>3</v>
      </c>
      <c r="D307">
        <v>8</v>
      </c>
      <c r="E307">
        <f t="shared" si="16"/>
        <v>6.8</v>
      </c>
      <c r="F307" t="s">
        <v>32</v>
      </c>
      <c r="G307">
        <v>7317</v>
      </c>
      <c r="H307">
        <v>54.166666666666664</v>
      </c>
    </row>
    <row r="308" spans="1:8" x14ac:dyDescent="0.25">
      <c r="A308" t="s">
        <v>16</v>
      </c>
      <c r="B308" s="2">
        <v>1</v>
      </c>
      <c r="C308" s="2">
        <v>1</v>
      </c>
      <c r="D308" s="1">
        <v>10</v>
      </c>
      <c r="E308">
        <v>2</v>
      </c>
      <c r="F308" t="s">
        <v>18</v>
      </c>
      <c r="G308">
        <v>7318</v>
      </c>
      <c r="H308">
        <v>22</v>
      </c>
    </row>
    <row r="309" spans="1:8" x14ac:dyDescent="0.25">
      <c r="A309" t="s">
        <v>16</v>
      </c>
      <c r="B309" s="2">
        <v>1</v>
      </c>
      <c r="C309" s="2">
        <v>1</v>
      </c>
      <c r="D309" s="1">
        <v>10</v>
      </c>
      <c r="E309">
        <v>8</v>
      </c>
      <c r="F309" t="s">
        <v>19</v>
      </c>
      <c r="G309">
        <v>7318</v>
      </c>
      <c r="H309">
        <v>75.666666666666671</v>
      </c>
    </row>
    <row r="310" spans="1:8" x14ac:dyDescent="0.25">
      <c r="A310" t="s">
        <v>16</v>
      </c>
      <c r="B310" s="2">
        <v>1</v>
      </c>
      <c r="C310" s="2">
        <v>1</v>
      </c>
      <c r="D310" s="1">
        <v>10</v>
      </c>
      <c r="E310">
        <v>5</v>
      </c>
      <c r="F310" t="s">
        <v>32</v>
      </c>
      <c r="G310">
        <v>7318</v>
      </c>
      <c r="H310">
        <v>45</v>
      </c>
    </row>
    <row r="311" spans="1:8" x14ac:dyDescent="0.25">
      <c r="A311" t="s">
        <v>16</v>
      </c>
      <c r="B311" s="3" t="s">
        <v>22</v>
      </c>
      <c r="C311" t="s">
        <v>10</v>
      </c>
      <c r="D311">
        <v>2</v>
      </c>
      <c r="E311">
        <f t="shared" ref="E311:E325" si="17">(D311*8+(10-D311)*2)/10</f>
        <v>3.2</v>
      </c>
      <c r="F311" t="s">
        <v>18</v>
      </c>
      <c r="G311">
        <v>7318</v>
      </c>
      <c r="H311">
        <v>30.333333333333332</v>
      </c>
    </row>
    <row r="312" spans="1:8" x14ac:dyDescent="0.25">
      <c r="A312" t="s">
        <v>16</v>
      </c>
      <c r="B312" s="3" t="s">
        <v>22</v>
      </c>
      <c r="C312" t="s">
        <v>10</v>
      </c>
      <c r="D312">
        <v>2</v>
      </c>
      <c r="E312">
        <f t="shared" si="17"/>
        <v>3.2</v>
      </c>
      <c r="F312" t="s">
        <v>19</v>
      </c>
      <c r="G312">
        <v>7318</v>
      </c>
      <c r="H312">
        <v>41.5</v>
      </c>
    </row>
    <row r="313" spans="1:8" x14ac:dyDescent="0.25">
      <c r="A313" t="s">
        <v>17</v>
      </c>
      <c r="B313" s="3" t="s">
        <v>22</v>
      </c>
      <c r="C313" t="s">
        <v>10</v>
      </c>
      <c r="D313">
        <v>2</v>
      </c>
      <c r="E313">
        <f t="shared" si="17"/>
        <v>3.2</v>
      </c>
      <c r="F313" t="s">
        <v>32</v>
      </c>
      <c r="G313">
        <v>7318</v>
      </c>
      <c r="H313">
        <v>38.5</v>
      </c>
    </row>
    <row r="314" spans="1:8" x14ac:dyDescent="0.25">
      <c r="A314" t="s">
        <v>16</v>
      </c>
      <c r="B314" s="3" t="s">
        <v>24</v>
      </c>
      <c r="C314" t="s">
        <v>12</v>
      </c>
      <c r="D314">
        <v>4</v>
      </c>
      <c r="E314">
        <f t="shared" si="17"/>
        <v>4.4000000000000004</v>
      </c>
      <c r="F314" t="s">
        <v>18</v>
      </c>
      <c r="G314">
        <v>7318</v>
      </c>
      <c r="H314">
        <v>35</v>
      </c>
    </row>
    <row r="315" spans="1:8" x14ac:dyDescent="0.25">
      <c r="A315" t="s">
        <v>16</v>
      </c>
      <c r="B315" s="3" t="s">
        <v>24</v>
      </c>
      <c r="C315" t="s">
        <v>12</v>
      </c>
      <c r="D315">
        <v>4</v>
      </c>
      <c r="E315">
        <f t="shared" si="17"/>
        <v>4.4000000000000004</v>
      </c>
      <c r="F315" t="s">
        <v>19</v>
      </c>
      <c r="G315">
        <v>7318</v>
      </c>
      <c r="H315">
        <v>45</v>
      </c>
    </row>
    <row r="316" spans="1:8" x14ac:dyDescent="0.25">
      <c r="A316" t="s">
        <v>17</v>
      </c>
      <c r="B316" s="3" t="s">
        <v>24</v>
      </c>
      <c r="C316" t="s">
        <v>12</v>
      </c>
      <c r="D316">
        <v>4</v>
      </c>
      <c r="E316">
        <f t="shared" si="17"/>
        <v>4.4000000000000004</v>
      </c>
      <c r="F316" t="s">
        <v>32</v>
      </c>
      <c r="G316">
        <v>7318</v>
      </c>
      <c r="H316">
        <v>32.666666666666664</v>
      </c>
    </row>
    <row r="317" spans="1:8" x14ac:dyDescent="0.25">
      <c r="A317" t="s">
        <v>16</v>
      </c>
      <c r="B317" s="3" t="s">
        <v>26</v>
      </c>
      <c r="C317" t="s">
        <v>8</v>
      </c>
      <c r="D317">
        <v>5</v>
      </c>
      <c r="E317">
        <f t="shared" si="17"/>
        <v>5</v>
      </c>
      <c r="F317" t="s">
        <v>18</v>
      </c>
      <c r="G317">
        <v>7318</v>
      </c>
      <c r="H317">
        <v>39</v>
      </c>
    </row>
    <row r="318" spans="1:8" x14ac:dyDescent="0.25">
      <c r="A318" t="s">
        <v>16</v>
      </c>
      <c r="B318" s="3" t="s">
        <v>26</v>
      </c>
      <c r="C318" t="s">
        <v>8</v>
      </c>
      <c r="D318">
        <v>5</v>
      </c>
      <c r="E318">
        <f t="shared" si="17"/>
        <v>5</v>
      </c>
      <c r="F318" t="s">
        <v>19</v>
      </c>
      <c r="G318">
        <v>7318</v>
      </c>
      <c r="H318">
        <v>54.833333333333336</v>
      </c>
    </row>
    <row r="319" spans="1:8" x14ac:dyDescent="0.25">
      <c r="A319" t="s">
        <v>17</v>
      </c>
      <c r="B319" s="3" t="s">
        <v>26</v>
      </c>
      <c r="C319" t="s">
        <v>8</v>
      </c>
      <c r="D319">
        <v>5</v>
      </c>
      <c r="E319">
        <f t="shared" si="17"/>
        <v>5</v>
      </c>
      <c r="F319" t="s">
        <v>32</v>
      </c>
      <c r="G319">
        <v>7318</v>
      </c>
      <c r="H319">
        <v>50.333333333333336</v>
      </c>
    </row>
    <row r="320" spans="1:8" x14ac:dyDescent="0.25">
      <c r="A320" t="s">
        <v>16</v>
      </c>
      <c r="B320" s="3" t="s">
        <v>28</v>
      </c>
      <c r="C320" t="s">
        <v>6</v>
      </c>
      <c r="D320">
        <v>6</v>
      </c>
      <c r="E320">
        <f t="shared" si="17"/>
        <v>5.6</v>
      </c>
      <c r="F320" t="s">
        <v>18</v>
      </c>
      <c r="G320">
        <v>7318</v>
      </c>
      <c r="H320">
        <v>42</v>
      </c>
    </row>
    <row r="321" spans="1:8" x14ac:dyDescent="0.25">
      <c r="A321" t="s">
        <v>16</v>
      </c>
      <c r="B321" s="3" t="s">
        <v>28</v>
      </c>
      <c r="C321" t="s">
        <v>6</v>
      </c>
      <c r="D321">
        <v>6</v>
      </c>
      <c r="E321">
        <f t="shared" si="17"/>
        <v>5.6</v>
      </c>
      <c r="F321" t="s">
        <v>19</v>
      </c>
      <c r="G321">
        <v>7318</v>
      </c>
      <c r="H321">
        <v>61</v>
      </c>
    </row>
    <row r="322" spans="1:8" x14ac:dyDescent="0.25">
      <c r="A322" t="s">
        <v>17</v>
      </c>
      <c r="B322" s="3" t="s">
        <v>28</v>
      </c>
      <c r="C322" t="s">
        <v>6</v>
      </c>
      <c r="D322">
        <v>6</v>
      </c>
      <c r="E322">
        <f t="shared" si="17"/>
        <v>5.6</v>
      </c>
      <c r="F322" t="s">
        <v>32</v>
      </c>
      <c r="G322">
        <v>7318</v>
      </c>
      <c r="H322">
        <v>47.666666666666664</v>
      </c>
    </row>
    <row r="323" spans="1:8" x14ac:dyDescent="0.25">
      <c r="A323" t="s">
        <v>16</v>
      </c>
      <c r="B323" s="3" t="s">
        <v>30</v>
      </c>
      <c r="C323" t="s">
        <v>3</v>
      </c>
      <c r="D323">
        <v>8</v>
      </c>
      <c r="E323">
        <f t="shared" si="17"/>
        <v>6.8</v>
      </c>
      <c r="F323" t="s">
        <v>18</v>
      </c>
      <c r="G323">
        <v>7318</v>
      </c>
      <c r="H323">
        <v>56</v>
      </c>
    </row>
    <row r="324" spans="1:8" x14ac:dyDescent="0.25">
      <c r="A324" t="s">
        <v>16</v>
      </c>
      <c r="B324" s="3" t="s">
        <v>30</v>
      </c>
      <c r="C324" t="s">
        <v>3</v>
      </c>
      <c r="D324">
        <v>8</v>
      </c>
      <c r="E324">
        <f t="shared" si="17"/>
        <v>6.8</v>
      </c>
      <c r="F324" t="s">
        <v>19</v>
      </c>
      <c r="G324">
        <v>7318</v>
      </c>
      <c r="H324">
        <v>66.666666666666671</v>
      </c>
    </row>
    <row r="325" spans="1:8" x14ac:dyDescent="0.25">
      <c r="A325" t="s">
        <v>17</v>
      </c>
      <c r="B325" s="3" t="s">
        <v>30</v>
      </c>
      <c r="C325" t="s">
        <v>3</v>
      </c>
      <c r="D325">
        <v>8</v>
      </c>
      <c r="E325">
        <f t="shared" si="17"/>
        <v>6.8</v>
      </c>
      <c r="F325" t="s">
        <v>32</v>
      </c>
      <c r="G325">
        <v>7318</v>
      </c>
      <c r="H325">
        <v>64.333333333333329</v>
      </c>
    </row>
    <row r="326" spans="1:8" x14ac:dyDescent="0.25">
      <c r="A326" t="s">
        <v>16</v>
      </c>
      <c r="B326" s="2">
        <v>1</v>
      </c>
      <c r="C326" s="2">
        <v>1</v>
      </c>
      <c r="D326" s="1">
        <v>10</v>
      </c>
      <c r="E326">
        <v>2</v>
      </c>
      <c r="F326" t="s">
        <v>18</v>
      </c>
      <c r="G326">
        <v>7319</v>
      </c>
      <c r="H326">
        <v>30</v>
      </c>
    </row>
    <row r="327" spans="1:8" x14ac:dyDescent="0.25">
      <c r="A327" t="s">
        <v>16</v>
      </c>
      <c r="B327" s="2">
        <v>1</v>
      </c>
      <c r="C327" s="2">
        <v>1</v>
      </c>
      <c r="D327" s="1">
        <v>10</v>
      </c>
      <c r="E327">
        <v>8</v>
      </c>
      <c r="F327" t="s">
        <v>19</v>
      </c>
      <c r="G327">
        <v>7319</v>
      </c>
      <c r="H327">
        <v>88.333333333333329</v>
      </c>
    </row>
    <row r="328" spans="1:8" x14ac:dyDescent="0.25">
      <c r="A328" t="s">
        <v>16</v>
      </c>
      <c r="B328" s="2">
        <v>1</v>
      </c>
      <c r="C328" s="2">
        <v>1</v>
      </c>
      <c r="D328" s="1">
        <v>10</v>
      </c>
      <c r="E328">
        <v>5</v>
      </c>
      <c r="F328" t="s">
        <v>32</v>
      </c>
      <c r="G328">
        <v>7319</v>
      </c>
      <c r="H328">
        <v>50.833333333333336</v>
      </c>
    </row>
    <row r="329" spans="1:8" x14ac:dyDescent="0.25">
      <c r="A329" t="s">
        <v>16</v>
      </c>
      <c r="B329" s="3" t="s">
        <v>22</v>
      </c>
      <c r="C329" t="s">
        <v>10</v>
      </c>
      <c r="D329">
        <v>2</v>
      </c>
      <c r="E329">
        <f t="shared" ref="E329:E343" si="18">(D329*8+(10-D329)*2)/10</f>
        <v>3.2</v>
      </c>
      <c r="F329" t="s">
        <v>18</v>
      </c>
      <c r="G329">
        <v>7319</v>
      </c>
      <c r="H329">
        <v>35</v>
      </c>
    </row>
    <row r="330" spans="1:8" x14ac:dyDescent="0.25">
      <c r="A330" t="s">
        <v>16</v>
      </c>
      <c r="B330" s="3" t="s">
        <v>22</v>
      </c>
      <c r="C330" t="s">
        <v>10</v>
      </c>
      <c r="D330">
        <v>2</v>
      </c>
      <c r="E330">
        <f t="shared" si="18"/>
        <v>3.2</v>
      </c>
      <c r="F330" t="s">
        <v>19</v>
      </c>
      <c r="G330">
        <v>7319</v>
      </c>
      <c r="H330">
        <v>42.5</v>
      </c>
    </row>
    <row r="331" spans="1:8" x14ac:dyDescent="0.25">
      <c r="A331" t="s">
        <v>17</v>
      </c>
      <c r="B331" s="3" t="s">
        <v>22</v>
      </c>
      <c r="C331" t="s">
        <v>10</v>
      </c>
      <c r="D331">
        <v>2</v>
      </c>
      <c r="E331">
        <f t="shared" si="18"/>
        <v>3.2</v>
      </c>
      <c r="F331" t="s">
        <v>32</v>
      </c>
      <c r="G331">
        <v>7319</v>
      </c>
      <c r="H331">
        <v>33.333333333333336</v>
      </c>
    </row>
    <row r="332" spans="1:8" x14ac:dyDescent="0.25">
      <c r="A332" t="s">
        <v>16</v>
      </c>
      <c r="B332" s="3" t="s">
        <v>24</v>
      </c>
      <c r="C332" t="s">
        <v>12</v>
      </c>
      <c r="D332">
        <v>4</v>
      </c>
      <c r="E332">
        <f t="shared" si="18"/>
        <v>4.4000000000000004</v>
      </c>
      <c r="F332" t="s">
        <v>18</v>
      </c>
      <c r="G332">
        <v>7319</v>
      </c>
      <c r="H332">
        <v>41.666666666666664</v>
      </c>
    </row>
    <row r="333" spans="1:8" x14ac:dyDescent="0.25">
      <c r="A333" t="s">
        <v>16</v>
      </c>
      <c r="B333" s="3" t="s">
        <v>24</v>
      </c>
      <c r="C333" t="s">
        <v>12</v>
      </c>
      <c r="D333">
        <v>4</v>
      </c>
      <c r="E333">
        <f t="shared" si="18"/>
        <v>4.4000000000000004</v>
      </c>
      <c r="F333" t="s">
        <v>19</v>
      </c>
      <c r="G333">
        <v>7319</v>
      </c>
      <c r="H333">
        <v>45</v>
      </c>
    </row>
    <row r="334" spans="1:8" x14ac:dyDescent="0.25">
      <c r="A334" t="s">
        <v>17</v>
      </c>
      <c r="B334" s="3" t="s">
        <v>24</v>
      </c>
      <c r="C334" t="s">
        <v>12</v>
      </c>
      <c r="D334">
        <v>4</v>
      </c>
      <c r="E334">
        <f t="shared" si="18"/>
        <v>4.4000000000000004</v>
      </c>
      <c r="F334" t="s">
        <v>32</v>
      </c>
      <c r="G334">
        <v>7319</v>
      </c>
      <c r="H334">
        <v>42.333333333333336</v>
      </c>
    </row>
    <row r="335" spans="1:8" x14ac:dyDescent="0.25">
      <c r="A335" t="s">
        <v>16</v>
      </c>
      <c r="B335" s="3" t="s">
        <v>26</v>
      </c>
      <c r="C335" t="s">
        <v>8</v>
      </c>
      <c r="D335">
        <v>5</v>
      </c>
      <c r="E335">
        <f t="shared" si="18"/>
        <v>5</v>
      </c>
      <c r="F335" t="s">
        <v>18</v>
      </c>
      <c r="G335">
        <v>7319</v>
      </c>
      <c r="H335">
        <v>50</v>
      </c>
    </row>
    <row r="336" spans="1:8" x14ac:dyDescent="0.25">
      <c r="A336" t="s">
        <v>16</v>
      </c>
      <c r="B336" s="3" t="s">
        <v>26</v>
      </c>
      <c r="C336" t="s">
        <v>8</v>
      </c>
      <c r="D336">
        <v>5</v>
      </c>
      <c r="E336">
        <f t="shared" si="18"/>
        <v>5</v>
      </c>
      <c r="F336" t="s">
        <v>19</v>
      </c>
      <c r="G336">
        <v>7319</v>
      </c>
      <c r="H336">
        <v>54</v>
      </c>
    </row>
    <row r="337" spans="1:8" x14ac:dyDescent="0.25">
      <c r="A337" t="s">
        <v>17</v>
      </c>
      <c r="B337" s="3" t="s">
        <v>26</v>
      </c>
      <c r="C337" t="s">
        <v>8</v>
      </c>
      <c r="D337">
        <v>5</v>
      </c>
      <c r="E337">
        <f t="shared" si="18"/>
        <v>5</v>
      </c>
      <c r="F337" t="s">
        <v>32</v>
      </c>
      <c r="G337">
        <v>7319</v>
      </c>
      <c r="H337">
        <v>50</v>
      </c>
    </row>
    <row r="338" spans="1:8" x14ac:dyDescent="0.25">
      <c r="A338" t="s">
        <v>16</v>
      </c>
      <c r="B338" s="3" t="s">
        <v>28</v>
      </c>
      <c r="C338" t="s">
        <v>6</v>
      </c>
      <c r="D338">
        <v>6</v>
      </c>
      <c r="E338">
        <f t="shared" si="18"/>
        <v>5.6</v>
      </c>
      <c r="F338" t="s">
        <v>18</v>
      </c>
      <c r="G338">
        <v>7319</v>
      </c>
      <c r="H338">
        <v>47.666666666666664</v>
      </c>
    </row>
    <row r="339" spans="1:8" x14ac:dyDescent="0.25">
      <c r="A339" t="s">
        <v>16</v>
      </c>
      <c r="B339" s="3" t="s">
        <v>28</v>
      </c>
      <c r="C339" t="s">
        <v>6</v>
      </c>
      <c r="D339">
        <v>6</v>
      </c>
      <c r="E339">
        <f t="shared" si="18"/>
        <v>5.6</v>
      </c>
      <c r="F339" t="s">
        <v>19</v>
      </c>
      <c r="G339">
        <v>7319</v>
      </c>
      <c r="H339">
        <v>52.5</v>
      </c>
    </row>
    <row r="340" spans="1:8" x14ac:dyDescent="0.25">
      <c r="A340" t="s">
        <v>17</v>
      </c>
      <c r="B340" s="3" t="s">
        <v>28</v>
      </c>
      <c r="C340" t="s">
        <v>6</v>
      </c>
      <c r="D340">
        <v>6</v>
      </c>
      <c r="E340">
        <f t="shared" si="18"/>
        <v>5.6</v>
      </c>
      <c r="F340" t="s">
        <v>32</v>
      </c>
      <c r="G340">
        <v>7319</v>
      </c>
      <c r="H340">
        <v>50</v>
      </c>
    </row>
    <row r="341" spans="1:8" x14ac:dyDescent="0.25">
      <c r="A341" t="s">
        <v>16</v>
      </c>
      <c r="B341" s="3" t="s">
        <v>30</v>
      </c>
      <c r="C341" t="s">
        <v>3</v>
      </c>
      <c r="D341">
        <v>8</v>
      </c>
      <c r="E341">
        <f t="shared" si="18"/>
        <v>6.8</v>
      </c>
      <c r="F341" t="s">
        <v>18</v>
      </c>
      <c r="G341">
        <v>7319</v>
      </c>
      <c r="H341">
        <v>63.333333333333336</v>
      </c>
    </row>
    <row r="342" spans="1:8" x14ac:dyDescent="0.25">
      <c r="A342" t="s">
        <v>16</v>
      </c>
      <c r="B342" s="3" t="s">
        <v>30</v>
      </c>
      <c r="C342" t="s">
        <v>3</v>
      </c>
      <c r="D342">
        <v>8</v>
      </c>
      <c r="E342">
        <f t="shared" si="18"/>
        <v>6.8</v>
      </c>
      <c r="F342" t="s">
        <v>19</v>
      </c>
      <c r="G342">
        <v>7319</v>
      </c>
      <c r="H342">
        <v>75.833333333333329</v>
      </c>
    </row>
    <row r="343" spans="1:8" x14ac:dyDescent="0.25">
      <c r="A343" t="s">
        <v>17</v>
      </c>
      <c r="B343" s="3" t="s">
        <v>30</v>
      </c>
      <c r="C343" t="s">
        <v>3</v>
      </c>
      <c r="D343">
        <v>8</v>
      </c>
      <c r="E343">
        <f t="shared" si="18"/>
        <v>6.8</v>
      </c>
      <c r="F343" t="s">
        <v>32</v>
      </c>
      <c r="G343">
        <v>7319</v>
      </c>
      <c r="H343">
        <v>68.333333333333329</v>
      </c>
    </row>
    <row r="344" spans="1:8" x14ac:dyDescent="0.25">
      <c r="A344" t="s">
        <v>16</v>
      </c>
      <c r="B344" s="2">
        <v>1</v>
      </c>
      <c r="C344" s="2">
        <v>1</v>
      </c>
      <c r="D344" s="1">
        <v>10</v>
      </c>
      <c r="E344">
        <v>2</v>
      </c>
      <c r="F344" t="s">
        <v>18</v>
      </c>
      <c r="G344">
        <v>7320</v>
      </c>
      <c r="H344">
        <v>41.5</v>
      </c>
    </row>
    <row r="345" spans="1:8" x14ac:dyDescent="0.25">
      <c r="A345" t="s">
        <v>16</v>
      </c>
      <c r="B345" s="2">
        <v>1</v>
      </c>
      <c r="C345" s="2">
        <v>1</v>
      </c>
      <c r="D345" s="1">
        <v>10</v>
      </c>
      <c r="E345">
        <v>8</v>
      </c>
      <c r="F345" t="s">
        <v>19</v>
      </c>
      <c r="G345">
        <v>7320</v>
      </c>
      <c r="H345">
        <v>100</v>
      </c>
    </row>
    <row r="346" spans="1:8" x14ac:dyDescent="0.25">
      <c r="A346" t="s">
        <v>16</v>
      </c>
      <c r="B346" s="2">
        <v>1</v>
      </c>
      <c r="C346" s="2">
        <v>1</v>
      </c>
      <c r="D346" s="1">
        <v>10</v>
      </c>
      <c r="E346">
        <v>5</v>
      </c>
      <c r="F346" t="s">
        <v>32</v>
      </c>
      <c r="G346">
        <v>7320</v>
      </c>
      <c r="H346">
        <v>61.4</v>
      </c>
    </row>
    <row r="347" spans="1:8" x14ac:dyDescent="0.25">
      <c r="A347" t="s">
        <v>16</v>
      </c>
      <c r="B347" s="3" t="s">
        <v>22</v>
      </c>
      <c r="C347" t="s">
        <v>10</v>
      </c>
      <c r="D347">
        <v>2</v>
      </c>
      <c r="E347">
        <f t="shared" ref="E347:E361" si="19">(D347*8+(10-D347)*2)/10</f>
        <v>3.2</v>
      </c>
      <c r="F347" t="s">
        <v>18</v>
      </c>
      <c r="G347">
        <v>7320</v>
      </c>
      <c r="H347">
        <v>23.6</v>
      </c>
    </row>
    <row r="348" spans="1:8" x14ac:dyDescent="0.25">
      <c r="A348" t="s">
        <v>16</v>
      </c>
      <c r="B348" s="3" t="s">
        <v>22</v>
      </c>
      <c r="C348" t="s">
        <v>10</v>
      </c>
      <c r="D348">
        <v>2</v>
      </c>
      <c r="E348">
        <f t="shared" si="19"/>
        <v>3.2</v>
      </c>
      <c r="F348" t="s">
        <v>19</v>
      </c>
      <c r="G348">
        <v>7320</v>
      </c>
      <c r="H348">
        <v>41.4</v>
      </c>
    </row>
    <row r="349" spans="1:8" x14ac:dyDescent="0.25">
      <c r="A349" t="s">
        <v>17</v>
      </c>
      <c r="B349" s="3" t="s">
        <v>22</v>
      </c>
      <c r="C349" t="s">
        <v>10</v>
      </c>
      <c r="D349">
        <v>2</v>
      </c>
      <c r="E349">
        <f t="shared" si="19"/>
        <v>3.2</v>
      </c>
      <c r="F349" t="s">
        <v>32</v>
      </c>
      <c r="G349">
        <v>7320</v>
      </c>
      <c r="H349">
        <v>25.5</v>
      </c>
    </row>
    <row r="350" spans="1:8" x14ac:dyDescent="0.25">
      <c r="A350" t="s">
        <v>16</v>
      </c>
      <c r="B350" s="3" t="s">
        <v>24</v>
      </c>
      <c r="C350" t="s">
        <v>12</v>
      </c>
      <c r="D350">
        <v>4</v>
      </c>
      <c r="E350">
        <f t="shared" si="19"/>
        <v>4.4000000000000004</v>
      </c>
      <c r="F350" t="s">
        <v>18</v>
      </c>
      <c r="G350">
        <v>7320</v>
      </c>
      <c r="H350">
        <v>26.333333333333332</v>
      </c>
    </row>
    <row r="351" spans="1:8" x14ac:dyDescent="0.25">
      <c r="A351" t="s">
        <v>16</v>
      </c>
      <c r="B351" s="3" t="s">
        <v>24</v>
      </c>
      <c r="C351" t="s">
        <v>12</v>
      </c>
      <c r="D351">
        <v>4</v>
      </c>
      <c r="E351">
        <f t="shared" si="19"/>
        <v>4.4000000000000004</v>
      </c>
      <c r="F351" t="s">
        <v>19</v>
      </c>
      <c r="G351">
        <v>7320</v>
      </c>
      <c r="H351">
        <v>36.333333333333336</v>
      </c>
    </row>
    <row r="352" spans="1:8" x14ac:dyDescent="0.25">
      <c r="A352" t="s">
        <v>17</v>
      </c>
      <c r="B352" s="3" t="s">
        <v>24</v>
      </c>
      <c r="C352" t="s">
        <v>12</v>
      </c>
      <c r="D352">
        <v>4</v>
      </c>
      <c r="E352">
        <f t="shared" si="19"/>
        <v>4.4000000000000004</v>
      </c>
      <c r="F352" t="s">
        <v>32</v>
      </c>
      <c r="G352">
        <v>7320</v>
      </c>
      <c r="H352">
        <v>31.8</v>
      </c>
    </row>
    <row r="353" spans="1:8" x14ac:dyDescent="0.25">
      <c r="A353" t="s">
        <v>16</v>
      </c>
      <c r="B353" s="3" t="s">
        <v>26</v>
      </c>
      <c r="C353" t="s">
        <v>8</v>
      </c>
      <c r="D353">
        <v>5</v>
      </c>
      <c r="E353">
        <f t="shared" si="19"/>
        <v>5</v>
      </c>
      <c r="F353" t="s">
        <v>18</v>
      </c>
      <c r="G353">
        <v>7320</v>
      </c>
      <c r="H353">
        <v>29.666666666666668</v>
      </c>
    </row>
    <row r="354" spans="1:8" x14ac:dyDescent="0.25">
      <c r="A354" t="s">
        <v>16</v>
      </c>
      <c r="B354" s="3" t="s">
        <v>26</v>
      </c>
      <c r="C354" t="s">
        <v>8</v>
      </c>
      <c r="D354">
        <v>5</v>
      </c>
      <c r="E354">
        <f t="shared" si="19"/>
        <v>5</v>
      </c>
      <c r="F354" t="s">
        <v>19</v>
      </c>
      <c r="G354">
        <v>7320</v>
      </c>
      <c r="H354">
        <v>54.166666666666664</v>
      </c>
    </row>
    <row r="355" spans="1:8" x14ac:dyDescent="0.25">
      <c r="A355" t="s">
        <v>17</v>
      </c>
      <c r="B355" s="3" t="s">
        <v>26</v>
      </c>
      <c r="C355" t="s">
        <v>8</v>
      </c>
      <c r="D355">
        <v>5</v>
      </c>
      <c r="E355">
        <f t="shared" si="19"/>
        <v>5</v>
      </c>
      <c r="F355" t="s">
        <v>32</v>
      </c>
      <c r="G355">
        <v>7320</v>
      </c>
      <c r="H355">
        <v>30.5</v>
      </c>
    </row>
    <row r="356" spans="1:8" x14ac:dyDescent="0.25">
      <c r="A356" t="s">
        <v>16</v>
      </c>
      <c r="B356" s="3" t="s">
        <v>28</v>
      </c>
      <c r="C356" t="s">
        <v>6</v>
      </c>
      <c r="D356">
        <v>6</v>
      </c>
      <c r="E356">
        <f t="shared" si="19"/>
        <v>5.6</v>
      </c>
      <c r="F356" t="s">
        <v>18</v>
      </c>
      <c r="G356">
        <v>7320</v>
      </c>
      <c r="H356">
        <v>36.666666666666664</v>
      </c>
    </row>
    <row r="357" spans="1:8" x14ac:dyDescent="0.25">
      <c r="A357" t="s">
        <v>16</v>
      </c>
      <c r="B357" s="3" t="s">
        <v>28</v>
      </c>
      <c r="C357" t="s">
        <v>6</v>
      </c>
      <c r="D357">
        <v>6</v>
      </c>
      <c r="E357">
        <f t="shared" si="19"/>
        <v>5.6</v>
      </c>
      <c r="F357" t="s">
        <v>19</v>
      </c>
      <c r="G357">
        <v>7320</v>
      </c>
      <c r="H357">
        <v>42.666666666666664</v>
      </c>
    </row>
    <row r="358" spans="1:8" x14ac:dyDescent="0.25">
      <c r="A358" t="s">
        <v>17</v>
      </c>
      <c r="B358" s="3" t="s">
        <v>28</v>
      </c>
      <c r="C358" t="s">
        <v>6</v>
      </c>
      <c r="D358">
        <v>6</v>
      </c>
      <c r="E358">
        <f t="shared" si="19"/>
        <v>5.6</v>
      </c>
      <c r="F358" t="s">
        <v>32</v>
      </c>
      <c r="G358">
        <v>7320</v>
      </c>
      <c r="H358">
        <v>37.333333333333336</v>
      </c>
    </row>
    <row r="359" spans="1:8" x14ac:dyDescent="0.25">
      <c r="A359" t="s">
        <v>16</v>
      </c>
      <c r="B359" s="3" t="s">
        <v>30</v>
      </c>
      <c r="C359" t="s">
        <v>3</v>
      </c>
      <c r="D359">
        <v>8</v>
      </c>
      <c r="E359">
        <f t="shared" si="19"/>
        <v>6.8</v>
      </c>
      <c r="F359" t="s">
        <v>18</v>
      </c>
      <c r="G359">
        <v>7320</v>
      </c>
      <c r="H359">
        <v>51.6</v>
      </c>
    </row>
    <row r="360" spans="1:8" x14ac:dyDescent="0.25">
      <c r="A360" t="s">
        <v>16</v>
      </c>
      <c r="B360" s="3" t="s">
        <v>30</v>
      </c>
      <c r="C360" t="s">
        <v>3</v>
      </c>
      <c r="D360">
        <v>8</v>
      </c>
      <c r="E360">
        <f t="shared" si="19"/>
        <v>6.8</v>
      </c>
      <c r="F360" t="s">
        <v>19</v>
      </c>
      <c r="G360">
        <v>7320</v>
      </c>
      <c r="H360">
        <v>50.833333333333336</v>
      </c>
    </row>
    <row r="361" spans="1:8" x14ac:dyDescent="0.25">
      <c r="A361" t="s">
        <v>17</v>
      </c>
      <c r="B361" s="3" t="s">
        <v>30</v>
      </c>
      <c r="C361" t="s">
        <v>3</v>
      </c>
      <c r="D361">
        <v>8</v>
      </c>
      <c r="E361">
        <f t="shared" si="19"/>
        <v>6.8</v>
      </c>
      <c r="F361" t="s">
        <v>32</v>
      </c>
      <c r="G361">
        <v>7320</v>
      </c>
      <c r="H361">
        <v>52.333333333333336</v>
      </c>
    </row>
    <row r="362" spans="1:8" x14ac:dyDescent="0.25">
      <c r="A362" t="s">
        <v>16</v>
      </c>
      <c r="B362" s="2">
        <v>1</v>
      </c>
      <c r="C362" s="2">
        <v>1</v>
      </c>
      <c r="D362" s="1">
        <v>10</v>
      </c>
      <c r="E362">
        <v>2</v>
      </c>
      <c r="F362" t="s">
        <v>18</v>
      </c>
      <c r="G362">
        <v>7323</v>
      </c>
      <c r="H362">
        <v>18</v>
      </c>
    </row>
    <row r="363" spans="1:8" x14ac:dyDescent="0.25">
      <c r="A363" t="s">
        <v>16</v>
      </c>
      <c r="B363" s="2">
        <v>1</v>
      </c>
      <c r="C363" s="2">
        <v>1</v>
      </c>
      <c r="D363" s="1">
        <v>10</v>
      </c>
      <c r="E363">
        <v>8</v>
      </c>
      <c r="F363" t="s">
        <v>19</v>
      </c>
      <c r="G363">
        <v>7323</v>
      </c>
      <c r="H363">
        <v>59.166666666666664</v>
      </c>
    </row>
    <row r="364" spans="1:8" x14ac:dyDescent="0.25">
      <c r="A364" t="s">
        <v>16</v>
      </c>
      <c r="B364" s="2">
        <v>1</v>
      </c>
      <c r="C364" s="2">
        <v>1</v>
      </c>
      <c r="D364" s="1">
        <v>10</v>
      </c>
      <c r="E364">
        <v>5</v>
      </c>
      <c r="F364" t="s">
        <v>32</v>
      </c>
      <c r="G364">
        <v>7323</v>
      </c>
      <c r="H364">
        <v>38.333333333333336</v>
      </c>
    </row>
    <row r="365" spans="1:8" x14ac:dyDescent="0.25">
      <c r="A365" t="s">
        <v>16</v>
      </c>
      <c r="B365" s="3" t="s">
        <v>22</v>
      </c>
      <c r="C365" t="s">
        <v>10</v>
      </c>
      <c r="D365">
        <v>2</v>
      </c>
      <c r="E365">
        <f t="shared" ref="E365:E379" si="20">(D365*8+(10-D365)*2)/10</f>
        <v>3.2</v>
      </c>
      <c r="F365" t="s">
        <v>18</v>
      </c>
      <c r="G365">
        <v>7323</v>
      </c>
      <c r="H365">
        <v>21.666666666666668</v>
      </c>
    </row>
    <row r="366" spans="1:8" x14ac:dyDescent="0.25">
      <c r="A366" t="s">
        <v>16</v>
      </c>
      <c r="B366" s="3" t="s">
        <v>22</v>
      </c>
      <c r="C366" t="s">
        <v>10</v>
      </c>
      <c r="D366">
        <v>2</v>
      </c>
      <c r="E366">
        <f t="shared" si="20"/>
        <v>3.2</v>
      </c>
      <c r="F366" t="s">
        <v>19</v>
      </c>
      <c r="G366">
        <v>7323</v>
      </c>
      <c r="H366">
        <v>38.333333333333336</v>
      </c>
    </row>
    <row r="367" spans="1:8" x14ac:dyDescent="0.25">
      <c r="A367" t="s">
        <v>17</v>
      </c>
      <c r="B367" s="3" t="s">
        <v>22</v>
      </c>
      <c r="C367" t="s">
        <v>10</v>
      </c>
      <c r="D367">
        <v>2</v>
      </c>
      <c r="E367">
        <f t="shared" si="20"/>
        <v>3.2</v>
      </c>
      <c r="F367" t="s">
        <v>32</v>
      </c>
      <c r="G367">
        <v>7323</v>
      </c>
      <c r="H367">
        <v>18</v>
      </c>
    </row>
    <row r="368" spans="1:8" x14ac:dyDescent="0.25">
      <c r="A368" t="s">
        <v>16</v>
      </c>
      <c r="B368" s="3" t="s">
        <v>24</v>
      </c>
      <c r="C368" t="s">
        <v>12</v>
      </c>
      <c r="D368">
        <v>4</v>
      </c>
      <c r="E368">
        <f t="shared" si="20"/>
        <v>4.4000000000000004</v>
      </c>
      <c r="F368" t="s">
        <v>18</v>
      </c>
      <c r="G368">
        <v>7323</v>
      </c>
      <c r="H368">
        <v>26.666666666666668</v>
      </c>
    </row>
    <row r="369" spans="1:8" x14ac:dyDescent="0.25">
      <c r="A369" t="s">
        <v>16</v>
      </c>
      <c r="B369" s="3" t="s">
        <v>24</v>
      </c>
      <c r="C369" t="s">
        <v>12</v>
      </c>
      <c r="D369">
        <v>4</v>
      </c>
      <c r="E369">
        <f t="shared" si="20"/>
        <v>4.4000000000000004</v>
      </c>
      <c r="F369" t="s">
        <v>19</v>
      </c>
      <c r="G369">
        <v>7323</v>
      </c>
      <c r="H369">
        <v>38.333333333333336</v>
      </c>
    </row>
    <row r="370" spans="1:8" x14ac:dyDescent="0.25">
      <c r="A370" t="s">
        <v>17</v>
      </c>
      <c r="B370" s="3" t="s">
        <v>24</v>
      </c>
      <c r="C370" t="s">
        <v>12</v>
      </c>
      <c r="D370">
        <v>4</v>
      </c>
      <c r="E370">
        <f t="shared" si="20"/>
        <v>4.4000000000000004</v>
      </c>
      <c r="F370" t="s">
        <v>32</v>
      </c>
      <c r="G370">
        <v>7323</v>
      </c>
      <c r="H370">
        <v>28.333333333333332</v>
      </c>
    </row>
    <row r="371" spans="1:8" x14ac:dyDescent="0.25">
      <c r="A371" t="s">
        <v>16</v>
      </c>
      <c r="B371" s="3" t="s">
        <v>26</v>
      </c>
      <c r="C371" t="s">
        <v>8</v>
      </c>
      <c r="D371">
        <v>5</v>
      </c>
      <c r="E371">
        <f t="shared" si="20"/>
        <v>5</v>
      </c>
      <c r="F371" t="s">
        <v>18</v>
      </c>
      <c r="G371">
        <v>7323</v>
      </c>
      <c r="H371">
        <v>28.333333333333332</v>
      </c>
    </row>
    <row r="372" spans="1:8" x14ac:dyDescent="0.25">
      <c r="A372" t="s">
        <v>16</v>
      </c>
      <c r="B372" s="3" t="s">
        <v>26</v>
      </c>
      <c r="C372" t="s">
        <v>8</v>
      </c>
      <c r="D372">
        <v>5</v>
      </c>
      <c r="E372">
        <f t="shared" si="20"/>
        <v>5</v>
      </c>
      <c r="F372" t="s">
        <v>19</v>
      </c>
      <c r="G372">
        <v>7323</v>
      </c>
      <c r="H372">
        <v>49.166666666666664</v>
      </c>
    </row>
    <row r="373" spans="1:8" x14ac:dyDescent="0.25">
      <c r="A373" t="s">
        <v>17</v>
      </c>
      <c r="B373" s="3" t="s">
        <v>26</v>
      </c>
      <c r="C373" t="s">
        <v>8</v>
      </c>
      <c r="D373">
        <v>5</v>
      </c>
      <c r="E373">
        <f t="shared" si="20"/>
        <v>5</v>
      </c>
      <c r="F373" t="s">
        <v>32</v>
      </c>
      <c r="G373">
        <v>7323</v>
      </c>
      <c r="H373">
        <v>31.666666666666668</v>
      </c>
    </row>
    <row r="374" spans="1:8" x14ac:dyDescent="0.25">
      <c r="A374" t="s">
        <v>16</v>
      </c>
      <c r="B374" s="3" t="s">
        <v>28</v>
      </c>
      <c r="C374" t="s">
        <v>6</v>
      </c>
      <c r="D374">
        <v>6</v>
      </c>
      <c r="E374">
        <f t="shared" si="20"/>
        <v>5.6</v>
      </c>
      <c r="F374" t="s">
        <v>18</v>
      </c>
      <c r="G374">
        <v>7323</v>
      </c>
      <c r="H374">
        <v>25.833333333333332</v>
      </c>
    </row>
    <row r="375" spans="1:8" x14ac:dyDescent="0.25">
      <c r="A375" t="s">
        <v>16</v>
      </c>
      <c r="B375" s="3" t="s">
        <v>28</v>
      </c>
      <c r="C375" t="s">
        <v>6</v>
      </c>
      <c r="D375">
        <v>6</v>
      </c>
      <c r="E375">
        <f t="shared" si="20"/>
        <v>5.6</v>
      </c>
      <c r="F375" t="s">
        <v>19</v>
      </c>
      <c r="G375">
        <v>7323</v>
      </c>
      <c r="H375">
        <v>44.166666666666664</v>
      </c>
    </row>
    <row r="376" spans="1:8" x14ac:dyDescent="0.25">
      <c r="A376" t="s">
        <v>17</v>
      </c>
      <c r="B376" s="3" t="s">
        <v>28</v>
      </c>
      <c r="C376" t="s">
        <v>6</v>
      </c>
      <c r="D376">
        <v>6</v>
      </c>
      <c r="E376">
        <f t="shared" si="20"/>
        <v>5.6</v>
      </c>
      <c r="F376" t="s">
        <v>32</v>
      </c>
      <c r="G376">
        <v>7323</v>
      </c>
      <c r="H376">
        <v>35</v>
      </c>
    </row>
    <row r="377" spans="1:8" x14ac:dyDescent="0.25">
      <c r="A377" t="s">
        <v>16</v>
      </c>
      <c r="B377" s="3" t="s">
        <v>30</v>
      </c>
      <c r="C377" t="s">
        <v>3</v>
      </c>
      <c r="D377">
        <v>8</v>
      </c>
      <c r="E377">
        <f t="shared" si="20"/>
        <v>6.8</v>
      </c>
      <c r="F377" t="s">
        <v>18</v>
      </c>
      <c r="G377">
        <v>7323</v>
      </c>
      <c r="H377">
        <v>26.666666666666668</v>
      </c>
    </row>
    <row r="378" spans="1:8" x14ac:dyDescent="0.25">
      <c r="A378" t="s">
        <v>16</v>
      </c>
      <c r="B378" s="3" t="s">
        <v>30</v>
      </c>
      <c r="C378" t="s">
        <v>3</v>
      </c>
      <c r="D378">
        <v>8</v>
      </c>
      <c r="E378">
        <f t="shared" si="20"/>
        <v>6.8</v>
      </c>
      <c r="F378" t="s">
        <v>19</v>
      </c>
      <c r="G378">
        <v>7323</v>
      </c>
      <c r="H378">
        <v>50.833333333333336</v>
      </c>
    </row>
    <row r="379" spans="1:8" x14ac:dyDescent="0.25">
      <c r="A379" t="s">
        <v>17</v>
      </c>
      <c r="B379" s="3" t="s">
        <v>30</v>
      </c>
      <c r="C379" t="s">
        <v>3</v>
      </c>
      <c r="D379">
        <v>8</v>
      </c>
      <c r="E379">
        <f t="shared" si="20"/>
        <v>6.8</v>
      </c>
      <c r="F379" t="s">
        <v>32</v>
      </c>
      <c r="G379">
        <v>7323</v>
      </c>
      <c r="H379">
        <v>37</v>
      </c>
    </row>
    <row r="380" spans="1:8" x14ac:dyDescent="0.25">
      <c r="A380" t="s">
        <v>16</v>
      </c>
      <c r="B380" s="2">
        <v>1</v>
      </c>
      <c r="C380" s="2">
        <v>1</v>
      </c>
      <c r="D380" s="1">
        <v>10</v>
      </c>
      <c r="E380">
        <v>2</v>
      </c>
      <c r="F380" t="s">
        <v>18</v>
      </c>
      <c r="G380">
        <v>7324</v>
      </c>
      <c r="H380">
        <v>65.400000000000006</v>
      </c>
    </row>
    <row r="381" spans="1:8" x14ac:dyDescent="0.25">
      <c r="A381" t="s">
        <v>16</v>
      </c>
      <c r="B381" s="2">
        <v>1</v>
      </c>
      <c r="C381" s="2">
        <v>1</v>
      </c>
      <c r="D381" s="1">
        <v>10</v>
      </c>
      <c r="E381">
        <v>8</v>
      </c>
      <c r="F381" t="s">
        <v>19</v>
      </c>
      <c r="G381">
        <v>7324</v>
      </c>
      <c r="H381">
        <v>97.333333333333329</v>
      </c>
    </row>
    <row r="382" spans="1:8" x14ac:dyDescent="0.25">
      <c r="A382" t="s">
        <v>16</v>
      </c>
      <c r="B382" s="2">
        <v>1</v>
      </c>
      <c r="C382" s="2">
        <v>1</v>
      </c>
      <c r="D382" s="1">
        <v>10</v>
      </c>
      <c r="E382">
        <v>5</v>
      </c>
      <c r="F382" t="s">
        <v>32</v>
      </c>
      <c r="G382">
        <v>7324</v>
      </c>
      <c r="H382">
        <v>69.5</v>
      </c>
    </row>
    <row r="383" spans="1:8" x14ac:dyDescent="0.25">
      <c r="A383" t="s">
        <v>16</v>
      </c>
      <c r="B383" s="3" t="s">
        <v>22</v>
      </c>
      <c r="C383" t="s">
        <v>10</v>
      </c>
      <c r="D383">
        <v>2</v>
      </c>
      <c r="E383">
        <f t="shared" ref="E383:E397" si="21">(D383*8+(10-D383)*2)/10</f>
        <v>3.2</v>
      </c>
      <c r="F383" t="s">
        <v>18</v>
      </c>
      <c r="G383">
        <v>7324</v>
      </c>
      <c r="H383">
        <v>69.833333333333329</v>
      </c>
    </row>
    <row r="384" spans="1:8" x14ac:dyDescent="0.25">
      <c r="A384" t="s">
        <v>16</v>
      </c>
      <c r="B384" s="3" t="s">
        <v>22</v>
      </c>
      <c r="C384" t="s">
        <v>10</v>
      </c>
      <c r="D384">
        <v>2</v>
      </c>
      <c r="E384">
        <f t="shared" si="21"/>
        <v>3.2</v>
      </c>
      <c r="F384" t="s">
        <v>19</v>
      </c>
      <c r="G384">
        <v>7324</v>
      </c>
      <c r="H384">
        <v>85.4</v>
      </c>
    </row>
    <row r="385" spans="1:8" x14ac:dyDescent="0.25">
      <c r="A385" t="s">
        <v>17</v>
      </c>
      <c r="B385" s="3" t="s">
        <v>22</v>
      </c>
      <c r="C385" t="s">
        <v>10</v>
      </c>
      <c r="D385">
        <v>2</v>
      </c>
      <c r="E385">
        <f t="shared" si="21"/>
        <v>3.2</v>
      </c>
      <c r="F385" t="s">
        <v>32</v>
      </c>
      <c r="G385">
        <v>7324</v>
      </c>
      <c r="H385">
        <v>77.400000000000006</v>
      </c>
    </row>
    <row r="386" spans="1:8" x14ac:dyDescent="0.25">
      <c r="A386" t="s">
        <v>16</v>
      </c>
      <c r="B386" s="3" t="s">
        <v>24</v>
      </c>
      <c r="C386" t="s">
        <v>12</v>
      </c>
      <c r="D386">
        <v>4</v>
      </c>
      <c r="E386">
        <f t="shared" si="21"/>
        <v>4.4000000000000004</v>
      </c>
      <c r="F386" t="s">
        <v>18</v>
      </c>
      <c r="G386">
        <v>7324</v>
      </c>
      <c r="H386">
        <v>77.333333333333329</v>
      </c>
    </row>
    <row r="387" spans="1:8" x14ac:dyDescent="0.25">
      <c r="A387" t="s">
        <v>16</v>
      </c>
      <c r="B387" s="3" t="s">
        <v>24</v>
      </c>
      <c r="C387" t="s">
        <v>12</v>
      </c>
      <c r="D387">
        <v>4</v>
      </c>
      <c r="E387">
        <f t="shared" si="21"/>
        <v>4.4000000000000004</v>
      </c>
      <c r="F387" t="s">
        <v>19</v>
      </c>
      <c r="G387">
        <v>7324</v>
      </c>
      <c r="H387">
        <v>84.833333333333329</v>
      </c>
    </row>
    <row r="388" spans="1:8" x14ac:dyDescent="0.25">
      <c r="A388" t="s">
        <v>17</v>
      </c>
      <c r="B388" s="3" t="s">
        <v>24</v>
      </c>
      <c r="C388" t="s">
        <v>12</v>
      </c>
      <c r="D388">
        <v>4</v>
      </c>
      <c r="E388">
        <f t="shared" si="21"/>
        <v>4.4000000000000004</v>
      </c>
      <c r="F388" t="s">
        <v>32</v>
      </c>
      <c r="G388">
        <v>7324</v>
      </c>
      <c r="H388">
        <v>78.833333333333329</v>
      </c>
    </row>
    <row r="389" spans="1:8" x14ac:dyDescent="0.25">
      <c r="A389" t="s">
        <v>16</v>
      </c>
      <c r="B389" s="3" t="s">
        <v>26</v>
      </c>
      <c r="C389" t="s">
        <v>8</v>
      </c>
      <c r="D389">
        <v>5</v>
      </c>
      <c r="E389">
        <f t="shared" si="21"/>
        <v>5</v>
      </c>
      <c r="F389" t="s">
        <v>18</v>
      </c>
      <c r="G389">
        <v>7324</v>
      </c>
      <c r="H389">
        <v>71.666666666666671</v>
      </c>
    </row>
    <row r="390" spans="1:8" x14ac:dyDescent="0.25">
      <c r="A390" t="s">
        <v>16</v>
      </c>
      <c r="B390" s="3" t="s">
        <v>26</v>
      </c>
      <c r="C390" t="s">
        <v>8</v>
      </c>
      <c r="D390">
        <v>5</v>
      </c>
      <c r="E390">
        <f t="shared" si="21"/>
        <v>5</v>
      </c>
      <c r="F390" t="s">
        <v>19</v>
      </c>
      <c r="G390">
        <v>7324</v>
      </c>
      <c r="H390">
        <v>79.2</v>
      </c>
    </row>
    <row r="391" spans="1:8" x14ac:dyDescent="0.25">
      <c r="A391" t="s">
        <v>17</v>
      </c>
      <c r="B391" s="3" t="s">
        <v>26</v>
      </c>
      <c r="C391" t="s">
        <v>8</v>
      </c>
      <c r="D391">
        <v>5</v>
      </c>
      <c r="E391">
        <f t="shared" si="21"/>
        <v>5</v>
      </c>
      <c r="F391" t="s">
        <v>32</v>
      </c>
      <c r="G391">
        <v>7324</v>
      </c>
      <c r="H391">
        <v>77.833333333333329</v>
      </c>
    </row>
    <row r="392" spans="1:8" x14ac:dyDescent="0.25">
      <c r="A392" t="s">
        <v>16</v>
      </c>
      <c r="B392" s="3" t="s">
        <v>28</v>
      </c>
      <c r="C392" t="s">
        <v>6</v>
      </c>
      <c r="D392">
        <v>6</v>
      </c>
      <c r="E392">
        <f t="shared" si="21"/>
        <v>5.6</v>
      </c>
      <c r="F392" t="s">
        <v>18</v>
      </c>
      <c r="G392">
        <v>7324</v>
      </c>
      <c r="H392">
        <v>80.333333333333329</v>
      </c>
    </row>
    <row r="393" spans="1:8" x14ac:dyDescent="0.25">
      <c r="A393" t="s">
        <v>16</v>
      </c>
      <c r="B393" s="3" t="s">
        <v>28</v>
      </c>
      <c r="C393" t="s">
        <v>6</v>
      </c>
      <c r="D393">
        <v>6</v>
      </c>
      <c r="E393">
        <f t="shared" si="21"/>
        <v>5.6</v>
      </c>
      <c r="F393" t="s">
        <v>19</v>
      </c>
      <c r="G393">
        <v>7324</v>
      </c>
      <c r="H393">
        <v>86.833333333333329</v>
      </c>
    </row>
    <row r="394" spans="1:8" x14ac:dyDescent="0.25">
      <c r="A394" t="s">
        <v>17</v>
      </c>
      <c r="B394" s="3" t="s">
        <v>28</v>
      </c>
      <c r="C394" t="s">
        <v>6</v>
      </c>
      <c r="D394">
        <v>6</v>
      </c>
      <c r="E394">
        <f t="shared" si="21"/>
        <v>5.6</v>
      </c>
      <c r="F394" t="s">
        <v>32</v>
      </c>
      <c r="G394">
        <v>7324</v>
      </c>
      <c r="H394">
        <v>85.166666666666671</v>
      </c>
    </row>
    <row r="395" spans="1:8" x14ac:dyDescent="0.25">
      <c r="A395" t="s">
        <v>16</v>
      </c>
      <c r="B395" s="3" t="s">
        <v>30</v>
      </c>
      <c r="C395" t="s">
        <v>3</v>
      </c>
      <c r="D395">
        <v>8</v>
      </c>
      <c r="E395">
        <f t="shared" si="21"/>
        <v>6.8</v>
      </c>
      <c r="F395" t="s">
        <v>18</v>
      </c>
      <c r="G395">
        <v>7324</v>
      </c>
      <c r="H395">
        <v>88.166666666666671</v>
      </c>
    </row>
    <row r="396" spans="1:8" x14ac:dyDescent="0.25">
      <c r="A396" t="s">
        <v>16</v>
      </c>
      <c r="B396" s="3" t="s">
        <v>30</v>
      </c>
      <c r="C396" t="s">
        <v>3</v>
      </c>
      <c r="D396">
        <v>8</v>
      </c>
      <c r="E396">
        <f t="shared" si="21"/>
        <v>6.8</v>
      </c>
      <c r="F396" t="s">
        <v>19</v>
      </c>
      <c r="G396">
        <v>7324</v>
      </c>
      <c r="H396">
        <v>91.666666666666671</v>
      </c>
    </row>
    <row r="397" spans="1:8" x14ac:dyDescent="0.25">
      <c r="A397" t="s">
        <v>17</v>
      </c>
      <c r="B397" s="3" t="s">
        <v>30</v>
      </c>
      <c r="C397" t="s">
        <v>3</v>
      </c>
      <c r="D397">
        <v>8</v>
      </c>
      <c r="E397">
        <f t="shared" si="21"/>
        <v>6.8</v>
      </c>
      <c r="F397" t="s">
        <v>32</v>
      </c>
      <c r="G397">
        <v>7324</v>
      </c>
      <c r="H397">
        <v>91.5</v>
      </c>
    </row>
    <row r="398" spans="1:8" x14ac:dyDescent="0.25">
      <c r="A398" t="s">
        <v>16</v>
      </c>
      <c r="B398" s="2">
        <v>1</v>
      </c>
      <c r="C398" s="2">
        <v>1</v>
      </c>
      <c r="D398" s="1">
        <v>10</v>
      </c>
      <c r="E398">
        <v>2</v>
      </c>
      <c r="F398" t="s">
        <v>18</v>
      </c>
      <c r="G398">
        <v>7325</v>
      </c>
      <c r="H398">
        <v>29</v>
      </c>
    </row>
    <row r="399" spans="1:8" x14ac:dyDescent="0.25">
      <c r="A399" t="s">
        <v>16</v>
      </c>
      <c r="B399" s="2">
        <v>1</v>
      </c>
      <c r="C399" s="2">
        <v>1</v>
      </c>
      <c r="D399" s="1">
        <v>10</v>
      </c>
      <c r="E399">
        <v>8</v>
      </c>
      <c r="F399" t="s">
        <v>19</v>
      </c>
      <c r="G399">
        <v>7325</v>
      </c>
      <c r="H399">
        <v>80</v>
      </c>
    </row>
    <row r="400" spans="1:8" x14ac:dyDescent="0.25">
      <c r="A400" t="s">
        <v>16</v>
      </c>
      <c r="B400" s="2">
        <v>1</v>
      </c>
      <c r="C400" s="2">
        <v>1</v>
      </c>
      <c r="D400" s="1">
        <v>10</v>
      </c>
      <c r="E400">
        <v>5</v>
      </c>
      <c r="F400" t="s">
        <v>32</v>
      </c>
      <c r="G400">
        <v>7325</v>
      </c>
      <c r="H400">
        <v>50</v>
      </c>
    </row>
    <row r="401" spans="1:8" x14ac:dyDescent="0.25">
      <c r="A401" t="s">
        <v>16</v>
      </c>
      <c r="B401" s="3" t="s">
        <v>22</v>
      </c>
      <c r="C401" t="s">
        <v>10</v>
      </c>
      <c r="D401">
        <v>2</v>
      </c>
      <c r="E401">
        <f t="shared" ref="E401:E415" si="22">(D401*8+(10-D401)*2)/10</f>
        <v>3.2</v>
      </c>
      <c r="F401" t="s">
        <v>18</v>
      </c>
      <c r="G401">
        <v>7325</v>
      </c>
      <c r="H401">
        <v>39.200000000000003</v>
      </c>
    </row>
    <row r="402" spans="1:8" x14ac:dyDescent="0.25">
      <c r="A402" t="s">
        <v>16</v>
      </c>
      <c r="B402" s="3" t="s">
        <v>22</v>
      </c>
      <c r="C402" t="s">
        <v>10</v>
      </c>
      <c r="D402">
        <v>2</v>
      </c>
      <c r="E402">
        <f t="shared" si="22"/>
        <v>3.2</v>
      </c>
      <c r="F402" t="s">
        <v>19</v>
      </c>
      <c r="G402">
        <v>7325</v>
      </c>
      <c r="H402">
        <v>39.4</v>
      </c>
    </row>
    <row r="403" spans="1:8" x14ac:dyDescent="0.25">
      <c r="A403" t="s">
        <v>17</v>
      </c>
      <c r="B403" s="3" t="s">
        <v>22</v>
      </c>
      <c r="C403" t="s">
        <v>10</v>
      </c>
      <c r="D403">
        <v>2</v>
      </c>
      <c r="E403">
        <f t="shared" si="22"/>
        <v>3.2</v>
      </c>
      <c r="F403" t="s">
        <v>32</v>
      </c>
      <c r="G403">
        <v>7325</v>
      </c>
      <c r="H403">
        <v>39.200000000000003</v>
      </c>
    </row>
    <row r="404" spans="1:8" x14ac:dyDescent="0.25">
      <c r="A404" t="s">
        <v>16</v>
      </c>
      <c r="B404" s="3" t="s">
        <v>24</v>
      </c>
      <c r="C404" t="s">
        <v>12</v>
      </c>
      <c r="D404">
        <v>4</v>
      </c>
      <c r="E404">
        <f t="shared" si="22"/>
        <v>4.4000000000000004</v>
      </c>
      <c r="F404" t="s">
        <v>18</v>
      </c>
      <c r="G404">
        <v>7325</v>
      </c>
      <c r="H404">
        <v>44.666666666666664</v>
      </c>
    </row>
    <row r="405" spans="1:8" x14ac:dyDescent="0.25">
      <c r="A405" t="s">
        <v>16</v>
      </c>
      <c r="B405" s="3" t="s">
        <v>24</v>
      </c>
      <c r="C405" t="s">
        <v>12</v>
      </c>
      <c r="D405">
        <v>4</v>
      </c>
      <c r="E405">
        <f t="shared" si="22"/>
        <v>4.4000000000000004</v>
      </c>
      <c r="F405" t="s">
        <v>19</v>
      </c>
      <c r="G405">
        <v>7325</v>
      </c>
      <c r="H405">
        <v>44.5</v>
      </c>
    </row>
    <row r="406" spans="1:8" x14ac:dyDescent="0.25">
      <c r="A406" t="s">
        <v>17</v>
      </c>
      <c r="B406" s="3" t="s">
        <v>24</v>
      </c>
      <c r="C406" t="s">
        <v>12</v>
      </c>
      <c r="D406">
        <v>4</v>
      </c>
      <c r="E406">
        <f t="shared" si="22"/>
        <v>4.4000000000000004</v>
      </c>
      <c r="F406" t="s">
        <v>32</v>
      </c>
      <c r="G406">
        <v>7325</v>
      </c>
      <c r="H406">
        <v>44.666666666666664</v>
      </c>
    </row>
    <row r="407" spans="1:8" x14ac:dyDescent="0.25">
      <c r="A407" t="s">
        <v>16</v>
      </c>
      <c r="B407" s="3" t="s">
        <v>26</v>
      </c>
      <c r="C407" t="s">
        <v>8</v>
      </c>
      <c r="D407">
        <v>5</v>
      </c>
      <c r="E407">
        <f t="shared" si="22"/>
        <v>5</v>
      </c>
      <c r="F407" t="s">
        <v>18</v>
      </c>
      <c r="G407">
        <v>7325</v>
      </c>
      <c r="H407">
        <v>50</v>
      </c>
    </row>
    <row r="408" spans="1:8" x14ac:dyDescent="0.25">
      <c r="A408" t="s">
        <v>16</v>
      </c>
      <c r="B408" s="3" t="s">
        <v>26</v>
      </c>
      <c r="C408" t="s">
        <v>8</v>
      </c>
      <c r="D408">
        <v>5</v>
      </c>
      <c r="E408">
        <f t="shared" si="22"/>
        <v>5</v>
      </c>
      <c r="F408" t="s">
        <v>19</v>
      </c>
      <c r="G408">
        <v>7325</v>
      </c>
      <c r="H408">
        <v>50</v>
      </c>
    </row>
    <row r="409" spans="1:8" x14ac:dyDescent="0.25">
      <c r="A409" t="s">
        <v>17</v>
      </c>
      <c r="B409" s="3" t="s">
        <v>26</v>
      </c>
      <c r="C409" t="s">
        <v>8</v>
      </c>
      <c r="D409">
        <v>5</v>
      </c>
      <c r="E409">
        <f t="shared" si="22"/>
        <v>5</v>
      </c>
      <c r="F409" t="s">
        <v>32</v>
      </c>
      <c r="G409">
        <v>7325</v>
      </c>
      <c r="H409">
        <v>50</v>
      </c>
    </row>
    <row r="410" spans="1:8" x14ac:dyDescent="0.25">
      <c r="A410" t="s">
        <v>16</v>
      </c>
      <c r="B410" s="3" t="s">
        <v>28</v>
      </c>
      <c r="C410" t="s">
        <v>6</v>
      </c>
      <c r="D410">
        <v>6</v>
      </c>
      <c r="E410">
        <f t="shared" si="22"/>
        <v>5.6</v>
      </c>
      <c r="F410" t="s">
        <v>18</v>
      </c>
      <c r="G410">
        <v>7325</v>
      </c>
      <c r="H410">
        <v>56</v>
      </c>
    </row>
    <row r="411" spans="1:8" x14ac:dyDescent="0.25">
      <c r="A411" t="s">
        <v>16</v>
      </c>
      <c r="B411" s="3" t="s">
        <v>28</v>
      </c>
      <c r="C411" t="s">
        <v>6</v>
      </c>
      <c r="D411">
        <v>6</v>
      </c>
      <c r="E411">
        <f t="shared" si="22"/>
        <v>5.6</v>
      </c>
      <c r="F411" t="s">
        <v>19</v>
      </c>
      <c r="G411">
        <v>7325</v>
      </c>
      <c r="H411">
        <v>56</v>
      </c>
    </row>
    <row r="412" spans="1:8" x14ac:dyDescent="0.25">
      <c r="A412" t="s">
        <v>17</v>
      </c>
      <c r="B412" s="3" t="s">
        <v>28</v>
      </c>
      <c r="C412" t="s">
        <v>6</v>
      </c>
      <c r="D412">
        <v>6</v>
      </c>
      <c r="E412">
        <f t="shared" si="22"/>
        <v>5.6</v>
      </c>
      <c r="F412" t="s">
        <v>32</v>
      </c>
      <c r="G412">
        <v>7325</v>
      </c>
      <c r="H412">
        <v>56</v>
      </c>
    </row>
    <row r="413" spans="1:8" x14ac:dyDescent="0.25">
      <c r="A413" t="s">
        <v>16</v>
      </c>
      <c r="B413" s="3" t="s">
        <v>30</v>
      </c>
      <c r="C413" t="s">
        <v>3</v>
      </c>
      <c r="D413">
        <v>8</v>
      </c>
      <c r="E413">
        <f t="shared" si="22"/>
        <v>6.8</v>
      </c>
      <c r="F413" t="s">
        <v>18</v>
      </c>
      <c r="G413">
        <v>7325</v>
      </c>
      <c r="H413">
        <v>68</v>
      </c>
    </row>
    <row r="414" spans="1:8" x14ac:dyDescent="0.25">
      <c r="A414" t="s">
        <v>16</v>
      </c>
      <c r="B414" s="3" t="s">
        <v>30</v>
      </c>
      <c r="C414" t="s">
        <v>3</v>
      </c>
      <c r="D414">
        <v>8</v>
      </c>
      <c r="E414">
        <f t="shared" si="22"/>
        <v>6.8</v>
      </c>
      <c r="F414" t="s">
        <v>19</v>
      </c>
      <c r="G414">
        <v>7325</v>
      </c>
      <c r="H414">
        <v>68</v>
      </c>
    </row>
    <row r="415" spans="1:8" x14ac:dyDescent="0.25">
      <c r="A415" t="s">
        <v>17</v>
      </c>
      <c r="B415" s="3" t="s">
        <v>30</v>
      </c>
      <c r="C415" t="s">
        <v>3</v>
      </c>
      <c r="D415">
        <v>8</v>
      </c>
      <c r="E415">
        <f t="shared" si="22"/>
        <v>6.8</v>
      </c>
      <c r="F415" t="s">
        <v>32</v>
      </c>
      <c r="G415">
        <v>7325</v>
      </c>
      <c r="H415">
        <v>68</v>
      </c>
    </row>
    <row r="416" spans="1:8" x14ac:dyDescent="0.25">
      <c r="A416" t="s">
        <v>16</v>
      </c>
      <c r="B416" s="2">
        <v>1</v>
      </c>
      <c r="C416" s="2">
        <v>1</v>
      </c>
      <c r="D416" s="1">
        <v>10</v>
      </c>
      <c r="E416">
        <v>2</v>
      </c>
      <c r="F416" t="s">
        <v>18</v>
      </c>
      <c r="G416">
        <v>7326</v>
      </c>
      <c r="H416">
        <v>21.8</v>
      </c>
    </row>
    <row r="417" spans="1:8" x14ac:dyDescent="0.25">
      <c r="A417" t="s">
        <v>16</v>
      </c>
      <c r="B417" s="2">
        <v>1</v>
      </c>
      <c r="C417" s="2">
        <v>1</v>
      </c>
      <c r="D417" s="1">
        <v>10</v>
      </c>
      <c r="E417">
        <v>8</v>
      </c>
      <c r="F417" t="s">
        <v>19</v>
      </c>
      <c r="G417">
        <v>7326</v>
      </c>
      <c r="H417">
        <v>100</v>
      </c>
    </row>
    <row r="418" spans="1:8" x14ac:dyDescent="0.25">
      <c r="A418" t="s">
        <v>16</v>
      </c>
      <c r="B418" s="2">
        <v>1</v>
      </c>
      <c r="C418" s="2">
        <v>1</v>
      </c>
      <c r="D418" s="1">
        <v>10</v>
      </c>
      <c r="E418">
        <v>5</v>
      </c>
      <c r="F418" t="s">
        <v>32</v>
      </c>
      <c r="G418">
        <v>7326</v>
      </c>
      <c r="H418">
        <v>53.6</v>
      </c>
    </row>
    <row r="419" spans="1:8" x14ac:dyDescent="0.25">
      <c r="A419" t="s">
        <v>16</v>
      </c>
      <c r="B419" s="3" t="s">
        <v>22</v>
      </c>
      <c r="C419" t="s">
        <v>10</v>
      </c>
      <c r="D419">
        <v>2</v>
      </c>
      <c r="E419">
        <f t="shared" ref="E419:E433" si="23">(D419*8+(10-D419)*2)/10</f>
        <v>3.2</v>
      </c>
      <c r="F419" t="s">
        <v>18</v>
      </c>
      <c r="G419">
        <v>7326</v>
      </c>
      <c r="H419">
        <v>31.5</v>
      </c>
    </row>
    <row r="420" spans="1:8" x14ac:dyDescent="0.25">
      <c r="A420" t="s">
        <v>16</v>
      </c>
      <c r="B420" s="3" t="s">
        <v>22</v>
      </c>
      <c r="C420" t="s">
        <v>10</v>
      </c>
      <c r="D420">
        <v>2</v>
      </c>
      <c r="E420">
        <f t="shared" si="23"/>
        <v>3.2</v>
      </c>
      <c r="F420" t="s">
        <v>19</v>
      </c>
      <c r="G420">
        <v>7326</v>
      </c>
      <c r="H420">
        <v>31.5</v>
      </c>
    </row>
    <row r="421" spans="1:8" x14ac:dyDescent="0.25">
      <c r="A421" t="s">
        <v>17</v>
      </c>
      <c r="B421" s="3" t="s">
        <v>22</v>
      </c>
      <c r="C421" t="s">
        <v>10</v>
      </c>
      <c r="D421">
        <v>2</v>
      </c>
      <c r="E421">
        <f t="shared" si="23"/>
        <v>3.2</v>
      </c>
      <c r="F421" t="s">
        <v>32</v>
      </c>
      <c r="G421">
        <v>7326</v>
      </c>
      <c r="H421">
        <v>35.6</v>
      </c>
    </row>
    <row r="422" spans="1:8" x14ac:dyDescent="0.25">
      <c r="A422" t="s">
        <v>16</v>
      </c>
      <c r="B422" s="3" t="s">
        <v>24</v>
      </c>
      <c r="C422" t="s">
        <v>12</v>
      </c>
      <c r="D422">
        <v>4</v>
      </c>
      <c r="E422">
        <f t="shared" si="23"/>
        <v>4.4000000000000004</v>
      </c>
      <c r="F422" t="s">
        <v>18</v>
      </c>
      <c r="G422">
        <v>7326</v>
      </c>
      <c r="H422">
        <v>40.5</v>
      </c>
    </row>
    <row r="423" spans="1:8" x14ac:dyDescent="0.25">
      <c r="A423" t="s">
        <v>16</v>
      </c>
      <c r="B423" s="3" t="s">
        <v>24</v>
      </c>
      <c r="C423" t="s">
        <v>12</v>
      </c>
      <c r="D423">
        <v>4</v>
      </c>
      <c r="E423">
        <f t="shared" si="23"/>
        <v>4.4000000000000004</v>
      </c>
      <c r="F423" t="s">
        <v>19</v>
      </c>
      <c r="G423">
        <v>7326</v>
      </c>
      <c r="H423">
        <v>57.5</v>
      </c>
    </row>
    <row r="424" spans="1:8" x14ac:dyDescent="0.25">
      <c r="A424" t="s">
        <v>17</v>
      </c>
      <c r="B424" s="3" t="s">
        <v>24</v>
      </c>
      <c r="C424" t="s">
        <v>12</v>
      </c>
      <c r="D424">
        <v>4</v>
      </c>
      <c r="E424">
        <f t="shared" si="23"/>
        <v>4.4000000000000004</v>
      </c>
      <c r="F424" t="s">
        <v>32</v>
      </c>
      <c r="G424">
        <v>7326</v>
      </c>
      <c r="H424">
        <v>41.6</v>
      </c>
    </row>
    <row r="425" spans="1:8" x14ac:dyDescent="0.25">
      <c r="A425" t="s">
        <v>16</v>
      </c>
      <c r="B425" s="3" t="s">
        <v>26</v>
      </c>
      <c r="C425" t="s">
        <v>8</v>
      </c>
      <c r="D425">
        <v>5</v>
      </c>
      <c r="E425">
        <f t="shared" si="23"/>
        <v>5</v>
      </c>
      <c r="F425" t="s">
        <v>18</v>
      </c>
      <c r="G425">
        <v>7326</v>
      </c>
      <c r="H425">
        <v>43.6</v>
      </c>
    </row>
    <row r="426" spans="1:8" x14ac:dyDescent="0.25">
      <c r="A426" t="s">
        <v>16</v>
      </c>
      <c r="B426" s="3" t="s">
        <v>26</v>
      </c>
      <c r="C426" t="s">
        <v>8</v>
      </c>
      <c r="D426">
        <v>5</v>
      </c>
      <c r="E426">
        <f t="shared" si="23"/>
        <v>5</v>
      </c>
      <c r="F426" t="s">
        <v>19</v>
      </c>
      <c r="G426">
        <v>7326</v>
      </c>
      <c r="H426">
        <v>55.666666666666664</v>
      </c>
    </row>
    <row r="427" spans="1:8" x14ac:dyDescent="0.25">
      <c r="A427" t="s">
        <v>17</v>
      </c>
      <c r="B427" s="3" t="s">
        <v>26</v>
      </c>
      <c r="C427" t="s">
        <v>8</v>
      </c>
      <c r="D427">
        <v>5</v>
      </c>
      <c r="E427">
        <f t="shared" si="23"/>
        <v>5</v>
      </c>
      <c r="F427" t="s">
        <v>32</v>
      </c>
      <c r="G427">
        <v>7326</v>
      </c>
      <c r="H427">
        <v>44.8</v>
      </c>
    </row>
    <row r="428" spans="1:8" x14ac:dyDescent="0.25">
      <c r="A428" t="s">
        <v>16</v>
      </c>
      <c r="B428" s="3" t="s">
        <v>28</v>
      </c>
      <c r="C428" t="s">
        <v>6</v>
      </c>
      <c r="D428">
        <v>6</v>
      </c>
      <c r="E428">
        <f t="shared" si="23"/>
        <v>5.6</v>
      </c>
      <c r="F428" t="s">
        <v>18</v>
      </c>
      <c r="G428">
        <v>7326</v>
      </c>
      <c r="H428">
        <v>45.5</v>
      </c>
    </row>
    <row r="429" spans="1:8" x14ac:dyDescent="0.25">
      <c r="A429" t="s">
        <v>16</v>
      </c>
      <c r="B429" s="3" t="s">
        <v>28</v>
      </c>
      <c r="C429" t="s">
        <v>6</v>
      </c>
      <c r="D429">
        <v>6</v>
      </c>
      <c r="E429">
        <f t="shared" si="23"/>
        <v>5.6</v>
      </c>
      <c r="F429" t="s">
        <v>19</v>
      </c>
      <c r="G429">
        <v>7326</v>
      </c>
      <c r="H429">
        <v>63</v>
      </c>
    </row>
    <row r="430" spans="1:8" x14ac:dyDescent="0.25">
      <c r="A430" t="s">
        <v>17</v>
      </c>
      <c r="B430" s="3" t="s">
        <v>28</v>
      </c>
      <c r="C430" t="s">
        <v>6</v>
      </c>
      <c r="D430">
        <v>6</v>
      </c>
      <c r="E430">
        <f t="shared" si="23"/>
        <v>5.6</v>
      </c>
      <c r="F430" t="s">
        <v>32</v>
      </c>
      <c r="G430">
        <v>7326</v>
      </c>
      <c r="H430">
        <v>51.833333333333336</v>
      </c>
    </row>
    <row r="431" spans="1:8" x14ac:dyDescent="0.25">
      <c r="A431" t="s">
        <v>16</v>
      </c>
      <c r="B431" s="3" t="s">
        <v>30</v>
      </c>
      <c r="C431" t="s">
        <v>3</v>
      </c>
      <c r="D431">
        <v>8</v>
      </c>
      <c r="E431">
        <f t="shared" si="23"/>
        <v>6.8</v>
      </c>
      <c r="F431" t="s">
        <v>18</v>
      </c>
      <c r="G431">
        <v>7326</v>
      </c>
      <c r="H431">
        <v>82.8</v>
      </c>
    </row>
    <row r="432" spans="1:8" x14ac:dyDescent="0.25">
      <c r="A432" t="s">
        <v>16</v>
      </c>
      <c r="B432" s="3" t="s">
        <v>30</v>
      </c>
      <c r="C432" t="s">
        <v>3</v>
      </c>
      <c r="D432">
        <v>8</v>
      </c>
      <c r="E432">
        <f t="shared" si="23"/>
        <v>6.8</v>
      </c>
      <c r="F432" t="s">
        <v>19</v>
      </c>
      <c r="G432">
        <v>7326</v>
      </c>
      <c r="H432">
        <v>89.333333333333329</v>
      </c>
    </row>
    <row r="433" spans="1:8" x14ac:dyDescent="0.25">
      <c r="A433" t="s">
        <v>17</v>
      </c>
      <c r="B433" s="3" t="s">
        <v>30</v>
      </c>
      <c r="C433" t="s">
        <v>3</v>
      </c>
      <c r="D433">
        <v>8</v>
      </c>
      <c r="E433">
        <f t="shared" si="23"/>
        <v>6.8</v>
      </c>
      <c r="F433" t="s">
        <v>32</v>
      </c>
      <c r="G433">
        <v>7326</v>
      </c>
      <c r="H433">
        <v>83.4</v>
      </c>
    </row>
    <row r="434" spans="1:8" x14ac:dyDescent="0.25">
      <c r="A434" t="s">
        <v>16</v>
      </c>
      <c r="B434" s="2">
        <v>1</v>
      </c>
      <c r="C434" s="2">
        <v>1</v>
      </c>
      <c r="D434" s="1">
        <v>10</v>
      </c>
      <c r="E434">
        <v>2</v>
      </c>
      <c r="F434" t="s">
        <v>18</v>
      </c>
      <c r="G434">
        <v>7327</v>
      </c>
      <c r="H434">
        <v>40.666666666666664</v>
      </c>
    </row>
    <row r="435" spans="1:8" x14ac:dyDescent="0.25">
      <c r="A435" t="s">
        <v>16</v>
      </c>
      <c r="B435" s="2">
        <v>1</v>
      </c>
      <c r="C435" s="2">
        <v>1</v>
      </c>
      <c r="D435" s="1">
        <v>10</v>
      </c>
      <c r="E435">
        <v>8</v>
      </c>
      <c r="F435" t="s">
        <v>19</v>
      </c>
      <c r="G435">
        <v>7327</v>
      </c>
      <c r="H435">
        <v>75.833333333333329</v>
      </c>
    </row>
    <row r="436" spans="1:8" x14ac:dyDescent="0.25">
      <c r="A436" t="s">
        <v>16</v>
      </c>
      <c r="B436" s="2">
        <v>1</v>
      </c>
      <c r="C436" s="2">
        <v>1</v>
      </c>
      <c r="D436" s="1">
        <v>10</v>
      </c>
      <c r="E436">
        <v>5</v>
      </c>
      <c r="F436" t="s">
        <v>32</v>
      </c>
      <c r="G436">
        <v>7327</v>
      </c>
      <c r="H436">
        <v>50</v>
      </c>
    </row>
    <row r="437" spans="1:8" x14ac:dyDescent="0.25">
      <c r="A437" t="s">
        <v>16</v>
      </c>
      <c r="B437" s="3" t="s">
        <v>22</v>
      </c>
      <c r="C437" t="s">
        <v>10</v>
      </c>
      <c r="D437">
        <v>2</v>
      </c>
      <c r="E437">
        <f t="shared" ref="E437:E451" si="24">(D437*8+(10-D437)*2)/10</f>
        <v>3.2</v>
      </c>
      <c r="F437" t="s">
        <v>18</v>
      </c>
      <c r="G437">
        <v>7327</v>
      </c>
      <c r="H437">
        <v>44</v>
      </c>
    </row>
    <row r="438" spans="1:8" x14ac:dyDescent="0.25">
      <c r="A438" t="s">
        <v>16</v>
      </c>
      <c r="B438" s="3" t="s">
        <v>22</v>
      </c>
      <c r="C438" t="s">
        <v>10</v>
      </c>
      <c r="D438">
        <v>2</v>
      </c>
      <c r="E438">
        <f t="shared" si="24"/>
        <v>3.2</v>
      </c>
      <c r="F438" t="s">
        <v>19</v>
      </c>
      <c r="G438">
        <v>7327</v>
      </c>
      <c r="H438">
        <v>64.666666666666671</v>
      </c>
    </row>
    <row r="439" spans="1:8" x14ac:dyDescent="0.25">
      <c r="A439" t="s">
        <v>17</v>
      </c>
      <c r="B439" s="3" t="s">
        <v>22</v>
      </c>
      <c r="C439" t="s">
        <v>10</v>
      </c>
      <c r="D439">
        <v>2</v>
      </c>
      <c r="E439">
        <f t="shared" si="24"/>
        <v>3.2</v>
      </c>
      <c r="F439" t="s">
        <v>32</v>
      </c>
      <c r="G439">
        <v>7327</v>
      </c>
      <c r="H439">
        <v>45.333333333333336</v>
      </c>
    </row>
    <row r="440" spans="1:8" x14ac:dyDescent="0.25">
      <c r="A440" t="s">
        <v>16</v>
      </c>
      <c r="B440" s="3" t="s">
        <v>24</v>
      </c>
      <c r="C440" t="s">
        <v>12</v>
      </c>
      <c r="D440">
        <v>4</v>
      </c>
      <c r="E440">
        <f t="shared" si="24"/>
        <v>4.4000000000000004</v>
      </c>
      <c r="F440" t="s">
        <v>18</v>
      </c>
      <c r="G440">
        <v>7327</v>
      </c>
      <c r="H440">
        <v>45.666666666666664</v>
      </c>
    </row>
    <row r="441" spans="1:8" x14ac:dyDescent="0.25">
      <c r="A441" t="s">
        <v>16</v>
      </c>
      <c r="B441" s="3" t="s">
        <v>24</v>
      </c>
      <c r="C441" t="s">
        <v>12</v>
      </c>
      <c r="D441">
        <v>4</v>
      </c>
      <c r="E441">
        <f t="shared" si="24"/>
        <v>4.4000000000000004</v>
      </c>
      <c r="F441" t="s">
        <v>19</v>
      </c>
      <c r="G441">
        <v>7327</v>
      </c>
      <c r="H441">
        <v>67.166666666666671</v>
      </c>
    </row>
    <row r="442" spans="1:8" x14ac:dyDescent="0.25">
      <c r="A442" t="s">
        <v>17</v>
      </c>
      <c r="B442" s="3" t="s">
        <v>24</v>
      </c>
      <c r="C442" t="s">
        <v>12</v>
      </c>
      <c r="D442">
        <v>4</v>
      </c>
      <c r="E442">
        <f t="shared" si="24"/>
        <v>4.4000000000000004</v>
      </c>
      <c r="F442" t="s">
        <v>32</v>
      </c>
      <c r="G442">
        <v>7327</v>
      </c>
      <c r="H442">
        <v>48</v>
      </c>
    </row>
    <row r="443" spans="1:8" x14ac:dyDescent="0.25">
      <c r="A443" t="s">
        <v>16</v>
      </c>
      <c r="B443" s="3" t="s">
        <v>26</v>
      </c>
      <c r="C443" t="s">
        <v>8</v>
      </c>
      <c r="D443">
        <v>5</v>
      </c>
      <c r="E443">
        <f t="shared" si="24"/>
        <v>5</v>
      </c>
      <c r="F443" t="s">
        <v>18</v>
      </c>
      <c r="G443">
        <v>7327</v>
      </c>
      <c r="H443">
        <v>47.333333333333336</v>
      </c>
    </row>
    <row r="444" spans="1:8" x14ac:dyDescent="0.25">
      <c r="A444" t="s">
        <v>16</v>
      </c>
      <c r="B444" s="3" t="s">
        <v>26</v>
      </c>
      <c r="C444" t="s">
        <v>8</v>
      </c>
      <c r="D444">
        <v>5</v>
      </c>
      <c r="E444">
        <f t="shared" si="24"/>
        <v>5</v>
      </c>
      <c r="F444" t="s">
        <v>19</v>
      </c>
      <c r="G444">
        <v>7327</v>
      </c>
      <c r="H444">
        <v>68.5</v>
      </c>
    </row>
    <row r="445" spans="1:8" x14ac:dyDescent="0.25">
      <c r="A445" t="s">
        <v>17</v>
      </c>
      <c r="B445" s="3" t="s">
        <v>26</v>
      </c>
      <c r="C445" t="s">
        <v>8</v>
      </c>
      <c r="D445">
        <v>5</v>
      </c>
      <c r="E445">
        <f t="shared" si="24"/>
        <v>5</v>
      </c>
      <c r="F445" t="s">
        <v>32</v>
      </c>
      <c r="G445">
        <v>7327</v>
      </c>
      <c r="H445">
        <v>62.166666666666664</v>
      </c>
    </row>
    <row r="446" spans="1:8" x14ac:dyDescent="0.25">
      <c r="A446" t="s">
        <v>16</v>
      </c>
      <c r="B446" s="3" t="s">
        <v>28</v>
      </c>
      <c r="C446" t="s">
        <v>6</v>
      </c>
      <c r="D446">
        <v>6</v>
      </c>
      <c r="E446">
        <f t="shared" si="24"/>
        <v>5.6</v>
      </c>
      <c r="F446" t="s">
        <v>18</v>
      </c>
      <c r="G446">
        <v>7327</v>
      </c>
      <c r="H446">
        <v>52.5</v>
      </c>
    </row>
    <row r="447" spans="1:8" x14ac:dyDescent="0.25">
      <c r="A447" t="s">
        <v>16</v>
      </c>
      <c r="B447" s="3" t="s">
        <v>28</v>
      </c>
      <c r="C447" t="s">
        <v>6</v>
      </c>
      <c r="D447">
        <v>6</v>
      </c>
      <c r="E447">
        <f t="shared" si="24"/>
        <v>5.6</v>
      </c>
      <c r="F447" t="s">
        <v>19</v>
      </c>
      <c r="G447">
        <v>7327</v>
      </c>
      <c r="H447">
        <v>71.2</v>
      </c>
    </row>
    <row r="448" spans="1:8" x14ac:dyDescent="0.25">
      <c r="A448" t="s">
        <v>17</v>
      </c>
      <c r="B448" s="3" t="s">
        <v>28</v>
      </c>
      <c r="C448" t="s">
        <v>6</v>
      </c>
      <c r="D448">
        <v>6</v>
      </c>
      <c r="E448">
        <f t="shared" si="24"/>
        <v>5.6</v>
      </c>
      <c r="F448" t="s">
        <v>32</v>
      </c>
      <c r="G448">
        <v>7327</v>
      </c>
      <c r="H448">
        <v>67.166666666666671</v>
      </c>
    </row>
    <row r="449" spans="1:8" x14ac:dyDescent="0.25">
      <c r="A449" t="s">
        <v>16</v>
      </c>
      <c r="B449" s="3" t="s">
        <v>30</v>
      </c>
      <c r="C449" t="s">
        <v>3</v>
      </c>
      <c r="D449">
        <v>8</v>
      </c>
      <c r="E449">
        <f t="shared" si="24"/>
        <v>6.8</v>
      </c>
      <c r="F449" t="s">
        <v>18</v>
      </c>
      <c r="G449">
        <v>7327</v>
      </c>
      <c r="H449">
        <v>60.4</v>
      </c>
    </row>
    <row r="450" spans="1:8" x14ac:dyDescent="0.25">
      <c r="A450" t="s">
        <v>16</v>
      </c>
      <c r="B450" s="3" t="s">
        <v>30</v>
      </c>
      <c r="C450" t="s">
        <v>3</v>
      </c>
      <c r="D450">
        <v>8</v>
      </c>
      <c r="E450">
        <f t="shared" si="24"/>
        <v>6.8</v>
      </c>
      <c r="F450" t="s">
        <v>19</v>
      </c>
      <c r="G450">
        <v>7327</v>
      </c>
      <c r="H450">
        <v>73.833333333333329</v>
      </c>
    </row>
    <row r="451" spans="1:8" x14ac:dyDescent="0.25">
      <c r="A451" t="s">
        <v>17</v>
      </c>
      <c r="B451" s="3" t="s">
        <v>30</v>
      </c>
      <c r="C451" t="s">
        <v>3</v>
      </c>
      <c r="D451">
        <v>8</v>
      </c>
      <c r="E451">
        <f t="shared" si="24"/>
        <v>6.8</v>
      </c>
      <c r="F451" t="s">
        <v>32</v>
      </c>
      <c r="G451">
        <v>7327</v>
      </c>
      <c r="H451">
        <v>72.5</v>
      </c>
    </row>
    <row r="452" spans="1:8" x14ac:dyDescent="0.25">
      <c r="A452" t="s">
        <v>16</v>
      </c>
      <c r="B452" s="2">
        <v>1</v>
      </c>
      <c r="C452" s="2">
        <v>1</v>
      </c>
      <c r="D452" s="1">
        <v>10</v>
      </c>
      <c r="E452">
        <v>2</v>
      </c>
      <c r="F452" t="s">
        <v>18</v>
      </c>
      <c r="G452">
        <v>7328</v>
      </c>
      <c r="H452">
        <v>24.166666666666668</v>
      </c>
    </row>
    <row r="453" spans="1:8" x14ac:dyDescent="0.25">
      <c r="A453" t="s">
        <v>16</v>
      </c>
      <c r="B453" s="2">
        <v>1</v>
      </c>
      <c r="C453" s="2">
        <v>1</v>
      </c>
      <c r="D453" s="1">
        <v>10</v>
      </c>
      <c r="E453">
        <v>8</v>
      </c>
      <c r="F453" t="s">
        <v>19</v>
      </c>
      <c r="G453">
        <v>7328</v>
      </c>
      <c r="H453">
        <v>61.2</v>
      </c>
    </row>
    <row r="454" spans="1:8" x14ac:dyDescent="0.25">
      <c r="A454" t="s">
        <v>16</v>
      </c>
      <c r="B454" s="2">
        <v>1</v>
      </c>
      <c r="C454" s="2">
        <v>1</v>
      </c>
      <c r="D454" s="1">
        <v>10</v>
      </c>
      <c r="E454">
        <v>5</v>
      </c>
      <c r="F454" t="s">
        <v>32</v>
      </c>
      <c r="G454">
        <v>7328</v>
      </c>
      <c r="H454">
        <v>46</v>
      </c>
    </row>
    <row r="455" spans="1:8" x14ac:dyDescent="0.25">
      <c r="A455" t="s">
        <v>16</v>
      </c>
      <c r="B455" s="3" t="s">
        <v>22</v>
      </c>
      <c r="C455" t="s">
        <v>10</v>
      </c>
      <c r="D455">
        <v>2</v>
      </c>
      <c r="E455">
        <f t="shared" ref="E455:E469" si="25">(D455*8+(10-D455)*2)/10</f>
        <v>3.2</v>
      </c>
      <c r="F455" t="s">
        <v>18</v>
      </c>
      <c r="G455">
        <v>7328</v>
      </c>
      <c r="H455">
        <v>25.666666666666668</v>
      </c>
    </row>
    <row r="456" spans="1:8" x14ac:dyDescent="0.25">
      <c r="A456" t="s">
        <v>16</v>
      </c>
      <c r="B456" s="3" t="s">
        <v>22</v>
      </c>
      <c r="C456" t="s">
        <v>10</v>
      </c>
      <c r="D456">
        <v>2</v>
      </c>
      <c r="E456">
        <f t="shared" si="25"/>
        <v>3.2</v>
      </c>
      <c r="F456" t="s">
        <v>19</v>
      </c>
      <c r="G456">
        <v>7328</v>
      </c>
      <c r="H456">
        <v>28.2</v>
      </c>
    </row>
    <row r="457" spans="1:8" x14ac:dyDescent="0.25">
      <c r="A457" t="s">
        <v>17</v>
      </c>
      <c r="B457" s="3" t="s">
        <v>22</v>
      </c>
      <c r="C457" t="s">
        <v>10</v>
      </c>
      <c r="D457">
        <v>2</v>
      </c>
      <c r="E457">
        <f t="shared" si="25"/>
        <v>3.2</v>
      </c>
      <c r="F457" t="s">
        <v>32</v>
      </c>
      <c r="G457">
        <v>7328</v>
      </c>
      <c r="H457">
        <v>26.166666666666668</v>
      </c>
    </row>
    <row r="458" spans="1:8" x14ac:dyDescent="0.25">
      <c r="A458" t="s">
        <v>16</v>
      </c>
      <c r="B458" s="3" t="s">
        <v>24</v>
      </c>
      <c r="C458" t="s">
        <v>12</v>
      </c>
      <c r="D458">
        <v>4</v>
      </c>
      <c r="E458">
        <f t="shared" si="25"/>
        <v>4.4000000000000004</v>
      </c>
      <c r="F458" t="s">
        <v>18</v>
      </c>
      <c r="G458">
        <v>7328</v>
      </c>
      <c r="H458">
        <v>28.5</v>
      </c>
    </row>
    <row r="459" spans="1:8" x14ac:dyDescent="0.25">
      <c r="A459" t="s">
        <v>16</v>
      </c>
      <c r="B459" s="3" t="s">
        <v>24</v>
      </c>
      <c r="C459" t="s">
        <v>12</v>
      </c>
      <c r="D459">
        <v>4</v>
      </c>
      <c r="E459">
        <f t="shared" si="25"/>
        <v>4.4000000000000004</v>
      </c>
      <c r="F459" t="s">
        <v>19</v>
      </c>
      <c r="G459">
        <v>7328</v>
      </c>
      <c r="H459">
        <v>31.5</v>
      </c>
    </row>
    <row r="460" spans="1:8" x14ac:dyDescent="0.25">
      <c r="A460" t="s">
        <v>17</v>
      </c>
      <c r="B460" s="3" t="s">
        <v>24</v>
      </c>
      <c r="C460" t="s">
        <v>12</v>
      </c>
      <c r="D460">
        <v>4</v>
      </c>
      <c r="E460">
        <f t="shared" si="25"/>
        <v>4.4000000000000004</v>
      </c>
      <c r="F460" t="s">
        <v>32</v>
      </c>
      <c r="G460">
        <v>7328</v>
      </c>
      <c r="H460">
        <v>30.333333333333332</v>
      </c>
    </row>
    <row r="461" spans="1:8" x14ac:dyDescent="0.25">
      <c r="A461" t="s">
        <v>16</v>
      </c>
      <c r="B461" s="3" t="s">
        <v>26</v>
      </c>
      <c r="C461" t="s">
        <v>8</v>
      </c>
      <c r="D461">
        <v>5</v>
      </c>
      <c r="E461">
        <f t="shared" si="25"/>
        <v>5</v>
      </c>
      <c r="F461" t="s">
        <v>18</v>
      </c>
      <c r="G461">
        <v>7328</v>
      </c>
      <c r="H461">
        <v>30.5</v>
      </c>
    </row>
    <row r="462" spans="1:8" x14ac:dyDescent="0.25">
      <c r="A462" t="s">
        <v>16</v>
      </c>
      <c r="B462" s="3" t="s">
        <v>26</v>
      </c>
      <c r="C462" t="s">
        <v>8</v>
      </c>
      <c r="D462">
        <v>5</v>
      </c>
      <c r="E462">
        <f t="shared" si="25"/>
        <v>5</v>
      </c>
      <c r="F462" t="s">
        <v>19</v>
      </c>
      <c r="G462">
        <v>7328</v>
      </c>
      <c r="H462">
        <v>40.4</v>
      </c>
    </row>
    <row r="463" spans="1:8" x14ac:dyDescent="0.25">
      <c r="A463" t="s">
        <v>17</v>
      </c>
      <c r="B463" s="3" t="s">
        <v>26</v>
      </c>
      <c r="C463" t="s">
        <v>8</v>
      </c>
      <c r="D463">
        <v>5</v>
      </c>
      <c r="E463">
        <f t="shared" si="25"/>
        <v>5</v>
      </c>
      <c r="F463" t="s">
        <v>32</v>
      </c>
      <c r="G463">
        <v>7328</v>
      </c>
      <c r="H463">
        <v>37.200000000000003</v>
      </c>
    </row>
    <row r="464" spans="1:8" x14ac:dyDescent="0.25">
      <c r="A464" t="s">
        <v>16</v>
      </c>
      <c r="B464" s="3" t="s">
        <v>28</v>
      </c>
      <c r="C464" t="s">
        <v>6</v>
      </c>
      <c r="D464">
        <v>6</v>
      </c>
      <c r="E464">
        <f t="shared" si="25"/>
        <v>5.6</v>
      </c>
      <c r="F464" t="s">
        <v>18</v>
      </c>
      <c r="G464">
        <v>7328</v>
      </c>
      <c r="H464">
        <v>36</v>
      </c>
    </row>
    <row r="465" spans="1:8" x14ac:dyDescent="0.25">
      <c r="A465" t="s">
        <v>16</v>
      </c>
      <c r="B465" s="3" t="s">
        <v>28</v>
      </c>
      <c r="C465" t="s">
        <v>6</v>
      </c>
      <c r="D465">
        <v>6</v>
      </c>
      <c r="E465">
        <f t="shared" si="25"/>
        <v>5.6</v>
      </c>
      <c r="F465" t="s">
        <v>19</v>
      </c>
      <c r="G465">
        <v>7328</v>
      </c>
      <c r="H465">
        <v>40.200000000000003</v>
      </c>
    </row>
    <row r="466" spans="1:8" x14ac:dyDescent="0.25">
      <c r="A466" t="s">
        <v>17</v>
      </c>
      <c r="B466" s="3" t="s">
        <v>28</v>
      </c>
      <c r="C466" t="s">
        <v>6</v>
      </c>
      <c r="D466">
        <v>6</v>
      </c>
      <c r="E466">
        <f t="shared" si="25"/>
        <v>5.6</v>
      </c>
      <c r="F466" t="s">
        <v>32</v>
      </c>
      <c r="G466">
        <v>7328</v>
      </c>
      <c r="H466">
        <v>36</v>
      </c>
    </row>
    <row r="467" spans="1:8" x14ac:dyDescent="0.25">
      <c r="A467" t="s">
        <v>16</v>
      </c>
      <c r="B467" s="3" t="s">
        <v>30</v>
      </c>
      <c r="C467" t="s">
        <v>3</v>
      </c>
      <c r="D467">
        <v>8</v>
      </c>
      <c r="E467">
        <f t="shared" si="25"/>
        <v>6.8</v>
      </c>
      <c r="F467" t="s">
        <v>18</v>
      </c>
      <c r="G467">
        <v>7328</v>
      </c>
      <c r="H467">
        <v>34.799999999999997</v>
      </c>
    </row>
    <row r="468" spans="1:8" x14ac:dyDescent="0.25">
      <c r="A468" t="s">
        <v>16</v>
      </c>
      <c r="B468" s="3" t="s">
        <v>30</v>
      </c>
      <c r="C468" t="s">
        <v>3</v>
      </c>
      <c r="D468">
        <v>8</v>
      </c>
      <c r="E468">
        <f t="shared" si="25"/>
        <v>6.8</v>
      </c>
      <c r="F468" t="s">
        <v>19</v>
      </c>
      <c r="G468">
        <v>7328</v>
      </c>
      <c r="H468">
        <v>52.2</v>
      </c>
    </row>
    <row r="469" spans="1:8" x14ac:dyDescent="0.25">
      <c r="A469" t="s">
        <v>17</v>
      </c>
      <c r="B469" s="3" t="s">
        <v>30</v>
      </c>
      <c r="C469" t="s">
        <v>3</v>
      </c>
      <c r="D469">
        <v>8</v>
      </c>
      <c r="E469">
        <f t="shared" si="25"/>
        <v>6.8</v>
      </c>
      <c r="F469" t="s">
        <v>32</v>
      </c>
      <c r="G469">
        <v>7328</v>
      </c>
      <c r="H469">
        <v>44.6</v>
      </c>
    </row>
    <row r="470" spans="1:8" x14ac:dyDescent="0.25">
      <c r="A470" t="s">
        <v>16</v>
      </c>
      <c r="B470" s="2">
        <v>1</v>
      </c>
      <c r="C470" s="2">
        <v>1</v>
      </c>
      <c r="D470" s="1">
        <v>10</v>
      </c>
      <c r="E470">
        <v>2</v>
      </c>
      <c r="F470" t="s">
        <v>18</v>
      </c>
      <c r="G470">
        <v>7329</v>
      </c>
      <c r="H470">
        <v>19.5</v>
      </c>
    </row>
    <row r="471" spans="1:8" x14ac:dyDescent="0.25">
      <c r="A471" t="s">
        <v>16</v>
      </c>
      <c r="B471" s="2">
        <v>1</v>
      </c>
      <c r="C471" s="2">
        <v>1</v>
      </c>
      <c r="D471" s="1">
        <v>10</v>
      </c>
      <c r="E471">
        <v>8</v>
      </c>
      <c r="F471" t="s">
        <v>19</v>
      </c>
      <c r="G471">
        <v>7329</v>
      </c>
      <c r="H471">
        <v>77.5</v>
      </c>
    </row>
    <row r="472" spans="1:8" x14ac:dyDescent="0.25">
      <c r="A472" t="s">
        <v>16</v>
      </c>
      <c r="B472" s="2">
        <v>1</v>
      </c>
      <c r="C472" s="2">
        <v>1</v>
      </c>
      <c r="D472" s="1">
        <v>10</v>
      </c>
      <c r="E472">
        <v>5</v>
      </c>
      <c r="F472" t="s">
        <v>32</v>
      </c>
      <c r="G472">
        <v>7329</v>
      </c>
      <c r="H472">
        <v>50</v>
      </c>
    </row>
    <row r="473" spans="1:8" x14ac:dyDescent="0.25">
      <c r="A473" t="s">
        <v>16</v>
      </c>
      <c r="B473" s="3" t="s">
        <v>22</v>
      </c>
      <c r="C473" t="s">
        <v>10</v>
      </c>
      <c r="D473">
        <v>2</v>
      </c>
      <c r="E473">
        <f t="shared" ref="E473:E487" si="26">(D473*8+(10-D473)*2)/10</f>
        <v>3.2</v>
      </c>
      <c r="F473" t="s">
        <v>18</v>
      </c>
      <c r="G473">
        <v>7329</v>
      </c>
      <c r="H473">
        <v>20</v>
      </c>
    </row>
    <row r="474" spans="1:8" x14ac:dyDescent="0.25">
      <c r="A474" t="s">
        <v>16</v>
      </c>
      <c r="B474" s="3" t="s">
        <v>22</v>
      </c>
      <c r="C474" t="s">
        <v>10</v>
      </c>
      <c r="D474">
        <v>2</v>
      </c>
      <c r="E474">
        <f t="shared" si="26"/>
        <v>3.2</v>
      </c>
      <c r="F474" t="s">
        <v>19</v>
      </c>
      <c r="G474">
        <v>7329</v>
      </c>
      <c r="H474">
        <v>32.200000000000003</v>
      </c>
    </row>
    <row r="475" spans="1:8" x14ac:dyDescent="0.25">
      <c r="A475" t="s">
        <v>17</v>
      </c>
      <c r="B475" s="3" t="s">
        <v>22</v>
      </c>
      <c r="C475" t="s">
        <v>10</v>
      </c>
      <c r="D475">
        <v>2</v>
      </c>
      <c r="E475">
        <f t="shared" si="26"/>
        <v>3.2</v>
      </c>
      <c r="F475" t="s">
        <v>32</v>
      </c>
      <c r="G475">
        <v>7329</v>
      </c>
      <c r="H475">
        <v>27.1666666666666</v>
      </c>
    </row>
    <row r="476" spans="1:8" x14ac:dyDescent="0.25">
      <c r="A476" t="s">
        <v>16</v>
      </c>
      <c r="B476" s="3" t="s">
        <v>24</v>
      </c>
      <c r="C476" t="s">
        <v>12</v>
      </c>
      <c r="D476">
        <v>4</v>
      </c>
      <c r="E476">
        <f t="shared" si="26"/>
        <v>4.4000000000000004</v>
      </c>
      <c r="F476" t="s">
        <v>18</v>
      </c>
      <c r="G476">
        <v>7329</v>
      </c>
      <c r="H476">
        <v>19.8333333333333</v>
      </c>
    </row>
    <row r="477" spans="1:8" x14ac:dyDescent="0.25">
      <c r="A477" t="s">
        <v>16</v>
      </c>
      <c r="B477" s="3" t="s">
        <v>24</v>
      </c>
      <c r="C477" t="s">
        <v>12</v>
      </c>
      <c r="D477">
        <v>4</v>
      </c>
      <c r="E477">
        <f t="shared" si="26"/>
        <v>4.4000000000000004</v>
      </c>
      <c r="F477" t="s">
        <v>19</v>
      </c>
      <c r="G477">
        <v>7329</v>
      </c>
      <c r="H477">
        <v>50.6666666666666</v>
      </c>
    </row>
    <row r="478" spans="1:8" x14ac:dyDescent="0.25">
      <c r="A478" t="s">
        <v>17</v>
      </c>
      <c r="B478" s="3" t="s">
        <v>24</v>
      </c>
      <c r="C478" t="s">
        <v>12</v>
      </c>
      <c r="D478">
        <v>4</v>
      </c>
      <c r="E478">
        <f t="shared" si="26"/>
        <v>4.4000000000000004</v>
      </c>
      <c r="F478" t="s">
        <v>32</v>
      </c>
      <c r="G478">
        <v>7329</v>
      </c>
      <c r="H478">
        <v>42.4</v>
      </c>
    </row>
    <row r="479" spans="1:8" x14ac:dyDescent="0.25">
      <c r="A479" t="s">
        <v>16</v>
      </c>
      <c r="B479" s="3" t="s">
        <v>26</v>
      </c>
      <c r="C479" t="s">
        <v>8</v>
      </c>
      <c r="D479">
        <v>5</v>
      </c>
      <c r="E479">
        <f t="shared" si="26"/>
        <v>5</v>
      </c>
      <c r="F479" t="s">
        <v>18</v>
      </c>
      <c r="G479">
        <v>7329</v>
      </c>
      <c r="H479">
        <v>24.1666666666666</v>
      </c>
    </row>
    <row r="480" spans="1:8" x14ac:dyDescent="0.25">
      <c r="A480" t="s">
        <v>16</v>
      </c>
      <c r="B480" s="3" t="s">
        <v>26</v>
      </c>
      <c r="C480" t="s">
        <v>8</v>
      </c>
      <c r="D480">
        <v>5</v>
      </c>
      <c r="E480">
        <f t="shared" si="26"/>
        <v>5</v>
      </c>
      <c r="F480" t="s">
        <v>19</v>
      </c>
      <c r="G480">
        <v>7329</v>
      </c>
      <c r="H480">
        <v>50.5</v>
      </c>
    </row>
    <row r="481" spans="1:8" x14ac:dyDescent="0.25">
      <c r="A481" t="s">
        <v>17</v>
      </c>
      <c r="B481" s="3" t="s">
        <v>26</v>
      </c>
      <c r="C481" t="s">
        <v>8</v>
      </c>
      <c r="D481">
        <v>5</v>
      </c>
      <c r="E481">
        <f t="shared" si="26"/>
        <v>5</v>
      </c>
      <c r="F481" t="s">
        <v>32</v>
      </c>
      <c r="G481">
        <v>7329</v>
      </c>
      <c r="H481">
        <v>49.1666666666666</v>
      </c>
    </row>
    <row r="482" spans="1:8" x14ac:dyDescent="0.25">
      <c r="A482" t="s">
        <v>16</v>
      </c>
      <c r="B482" s="3" t="s">
        <v>28</v>
      </c>
      <c r="C482" t="s">
        <v>6</v>
      </c>
      <c r="D482">
        <v>6</v>
      </c>
      <c r="E482">
        <f t="shared" si="26"/>
        <v>5.6</v>
      </c>
      <c r="F482" t="s">
        <v>18</v>
      </c>
      <c r="G482">
        <v>7329</v>
      </c>
      <c r="H482">
        <v>23.3333333333333</v>
      </c>
    </row>
    <row r="483" spans="1:8" x14ac:dyDescent="0.25">
      <c r="A483" t="s">
        <v>16</v>
      </c>
      <c r="B483" s="3" t="s">
        <v>28</v>
      </c>
      <c r="C483" t="s">
        <v>6</v>
      </c>
      <c r="D483">
        <v>6</v>
      </c>
      <c r="E483">
        <f t="shared" si="26"/>
        <v>5.6</v>
      </c>
      <c r="F483" t="s">
        <v>19</v>
      </c>
      <c r="G483">
        <v>7329</v>
      </c>
      <c r="H483">
        <v>57</v>
      </c>
    </row>
    <row r="484" spans="1:8" x14ac:dyDescent="0.25">
      <c r="A484" t="s">
        <v>17</v>
      </c>
      <c r="B484" s="3" t="s">
        <v>28</v>
      </c>
      <c r="C484" t="s">
        <v>6</v>
      </c>
      <c r="D484">
        <v>6</v>
      </c>
      <c r="E484">
        <f t="shared" si="26"/>
        <v>5.6</v>
      </c>
      <c r="F484" t="s">
        <v>32</v>
      </c>
      <c r="G484">
        <v>7329</v>
      </c>
      <c r="H484">
        <v>50.6666666666666</v>
      </c>
    </row>
    <row r="485" spans="1:8" x14ac:dyDescent="0.25">
      <c r="A485" t="s">
        <v>16</v>
      </c>
      <c r="B485" s="3" t="s">
        <v>30</v>
      </c>
      <c r="C485" t="s">
        <v>3</v>
      </c>
      <c r="D485">
        <v>8</v>
      </c>
      <c r="E485">
        <f t="shared" si="26"/>
        <v>6.8</v>
      </c>
      <c r="F485" t="s">
        <v>18</v>
      </c>
      <c r="G485">
        <v>7329</v>
      </c>
      <c r="H485">
        <v>32.799999999999997</v>
      </c>
    </row>
    <row r="486" spans="1:8" x14ac:dyDescent="0.25">
      <c r="A486" t="s">
        <v>16</v>
      </c>
      <c r="B486" s="3" t="s">
        <v>30</v>
      </c>
      <c r="C486" t="s">
        <v>3</v>
      </c>
      <c r="D486">
        <v>8</v>
      </c>
      <c r="E486">
        <f t="shared" si="26"/>
        <v>6.8</v>
      </c>
      <c r="F486" t="s">
        <v>19</v>
      </c>
      <c r="G486">
        <v>7329</v>
      </c>
      <c r="H486">
        <v>69.5</v>
      </c>
    </row>
    <row r="487" spans="1:8" x14ac:dyDescent="0.25">
      <c r="A487" t="s">
        <v>17</v>
      </c>
      <c r="B487" s="3" t="s">
        <v>30</v>
      </c>
      <c r="C487" t="s">
        <v>3</v>
      </c>
      <c r="D487">
        <v>8</v>
      </c>
      <c r="E487">
        <f t="shared" si="26"/>
        <v>6.8</v>
      </c>
      <c r="F487" t="s">
        <v>32</v>
      </c>
      <c r="G487">
        <v>7329</v>
      </c>
      <c r="H487">
        <v>63.75</v>
      </c>
    </row>
    <row r="488" spans="1:8" x14ac:dyDescent="0.25">
      <c r="A488" t="s">
        <v>16</v>
      </c>
      <c r="B488" s="2">
        <v>1</v>
      </c>
      <c r="C488" s="2">
        <v>1</v>
      </c>
      <c r="D488" s="1">
        <v>10</v>
      </c>
      <c r="E488">
        <v>2</v>
      </c>
      <c r="F488" t="s">
        <v>18</v>
      </c>
      <c r="G488">
        <v>7330</v>
      </c>
      <c r="H488">
        <v>16.833333333333332</v>
      </c>
    </row>
    <row r="489" spans="1:8" x14ac:dyDescent="0.25">
      <c r="A489" t="s">
        <v>16</v>
      </c>
      <c r="B489" s="2">
        <v>1</v>
      </c>
      <c r="C489" s="2">
        <v>1</v>
      </c>
      <c r="D489" s="1">
        <v>10</v>
      </c>
      <c r="E489">
        <v>8</v>
      </c>
      <c r="F489" t="s">
        <v>19</v>
      </c>
      <c r="G489">
        <v>7330</v>
      </c>
      <c r="H489">
        <v>49</v>
      </c>
    </row>
    <row r="490" spans="1:8" x14ac:dyDescent="0.25">
      <c r="A490" t="s">
        <v>16</v>
      </c>
      <c r="B490" s="2">
        <v>1</v>
      </c>
      <c r="C490" s="2">
        <v>1</v>
      </c>
      <c r="D490" s="1">
        <v>10</v>
      </c>
      <c r="E490">
        <v>5</v>
      </c>
      <c r="F490" t="s">
        <v>32</v>
      </c>
      <c r="G490">
        <v>7330</v>
      </c>
      <c r="H490">
        <v>27</v>
      </c>
    </row>
    <row r="491" spans="1:8" x14ac:dyDescent="0.25">
      <c r="A491" t="s">
        <v>16</v>
      </c>
      <c r="B491" s="3" t="s">
        <v>22</v>
      </c>
      <c r="C491" t="s">
        <v>10</v>
      </c>
      <c r="D491">
        <v>2</v>
      </c>
      <c r="E491">
        <f t="shared" ref="E491:E505" si="27">(D491*8+(10-D491)*2)/10</f>
        <v>3.2</v>
      </c>
      <c r="F491" t="s">
        <v>18</v>
      </c>
      <c r="G491">
        <v>7330</v>
      </c>
      <c r="H491">
        <v>22.333333333333332</v>
      </c>
    </row>
    <row r="492" spans="1:8" x14ac:dyDescent="0.25">
      <c r="A492" t="s">
        <v>16</v>
      </c>
      <c r="B492" s="3" t="s">
        <v>22</v>
      </c>
      <c r="C492" t="s">
        <v>10</v>
      </c>
      <c r="D492">
        <v>2</v>
      </c>
      <c r="E492">
        <f t="shared" si="27"/>
        <v>3.2</v>
      </c>
      <c r="F492" t="s">
        <v>19</v>
      </c>
      <c r="G492">
        <v>7330</v>
      </c>
      <c r="H492">
        <v>22.666666666666668</v>
      </c>
    </row>
    <row r="493" spans="1:8" x14ac:dyDescent="0.25">
      <c r="A493" t="s">
        <v>17</v>
      </c>
      <c r="B493" s="3" t="s">
        <v>22</v>
      </c>
      <c r="C493" t="s">
        <v>10</v>
      </c>
      <c r="D493">
        <v>2</v>
      </c>
      <c r="E493">
        <f t="shared" si="27"/>
        <v>3.2</v>
      </c>
      <c r="F493" t="s">
        <v>32</v>
      </c>
      <c r="G493">
        <v>7330</v>
      </c>
      <c r="H493">
        <v>22</v>
      </c>
    </row>
    <row r="494" spans="1:8" x14ac:dyDescent="0.25">
      <c r="A494" t="s">
        <v>16</v>
      </c>
      <c r="B494" s="3" t="s">
        <v>24</v>
      </c>
      <c r="C494" t="s">
        <v>12</v>
      </c>
      <c r="D494">
        <v>4</v>
      </c>
      <c r="E494">
        <f t="shared" si="27"/>
        <v>4.4000000000000004</v>
      </c>
      <c r="F494" t="s">
        <v>18</v>
      </c>
      <c r="G494">
        <v>7330</v>
      </c>
      <c r="H494">
        <v>25</v>
      </c>
    </row>
    <row r="495" spans="1:8" x14ac:dyDescent="0.25">
      <c r="A495" t="s">
        <v>16</v>
      </c>
      <c r="B495" s="3" t="s">
        <v>24</v>
      </c>
      <c r="C495" t="s">
        <v>12</v>
      </c>
      <c r="D495">
        <v>4</v>
      </c>
      <c r="E495">
        <f t="shared" si="27"/>
        <v>4.4000000000000004</v>
      </c>
      <c r="F495" t="s">
        <v>19</v>
      </c>
      <c r="G495">
        <v>7330</v>
      </c>
      <c r="H495">
        <v>25.666666666666668</v>
      </c>
    </row>
    <row r="496" spans="1:8" x14ac:dyDescent="0.25">
      <c r="A496" t="s">
        <v>17</v>
      </c>
      <c r="B496" s="3" t="s">
        <v>24</v>
      </c>
      <c r="C496" t="s">
        <v>12</v>
      </c>
      <c r="D496">
        <v>4</v>
      </c>
      <c r="E496">
        <f t="shared" si="27"/>
        <v>4.4000000000000004</v>
      </c>
      <c r="F496" t="s">
        <v>32</v>
      </c>
      <c r="G496">
        <v>7330</v>
      </c>
      <c r="H496">
        <v>24</v>
      </c>
    </row>
    <row r="497" spans="1:8" x14ac:dyDescent="0.25">
      <c r="A497" t="s">
        <v>16</v>
      </c>
      <c r="B497" s="3" t="s">
        <v>26</v>
      </c>
      <c r="C497" t="s">
        <v>8</v>
      </c>
      <c r="D497">
        <v>5</v>
      </c>
      <c r="E497">
        <f t="shared" si="27"/>
        <v>5</v>
      </c>
      <c r="F497" t="s">
        <v>18</v>
      </c>
      <c r="G497">
        <v>7330</v>
      </c>
      <c r="H497">
        <v>25.666666666666668</v>
      </c>
    </row>
    <row r="498" spans="1:8" x14ac:dyDescent="0.25">
      <c r="A498" t="s">
        <v>16</v>
      </c>
      <c r="B498" s="3" t="s">
        <v>26</v>
      </c>
      <c r="C498" t="s">
        <v>8</v>
      </c>
      <c r="D498">
        <v>5</v>
      </c>
      <c r="E498">
        <f t="shared" si="27"/>
        <v>5</v>
      </c>
      <c r="F498" t="s">
        <v>19</v>
      </c>
      <c r="G498">
        <v>7330</v>
      </c>
      <c r="H498">
        <v>30.5</v>
      </c>
    </row>
    <row r="499" spans="1:8" x14ac:dyDescent="0.25">
      <c r="A499" t="s">
        <v>17</v>
      </c>
      <c r="B499" s="3" t="s">
        <v>26</v>
      </c>
      <c r="C499" t="s">
        <v>8</v>
      </c>
      <c r="D499">
        <v>5</v>
      </c>
      <c r="E499">
        <f t="shared" si="27"/>
        <v>5</v>
      </c>
      <c r="F499" t="s">
        <v>32</v>
      </c>
      <c r="G499">
        <v>7330</v>
      </c>
      <c r="H499">
        <v>24.333333333333332</v>
      </c>
    </row>
    <row r="500" spans="1:8" x14ac:dyDescent="0.25">
      <c r="A500" t="s">
        <v>16</v>
      </c>
      <c r="B500" s="3" t="s">
        <v>28</v>
      </c>
      <c r="C500" t="s">
        <v>6</v>
      </c>
      <c r="D500">
        <v>6</v>
      </c>
      <c r="E500">
        <f t="shared" si="27"/>
        <v>5.6</v>
      </c>
      <c r="F500" t="s">
        <v>18</v>
      </c>
      <c r="G500">
        <v>7330</v>
      </c>
      <c r="H500">
        <v>36.333333333333336</v>
      </c>
    </row>
    <row r="501" spans="1:8" x14ac:dyDescent="0.25">
      <c r="A501" t="s">
        <v>16</v>
      </c>
      <c r="B501" s="3" t="s">
        <v>28</v>
      </c>
      <c r="C501" t="s">
        <v>6</v>
      </c>
      <c r="D501">
        <v>6</v>
      </c>
      <c r="E501">
        <f t="shared" si="27"/>
        <v>5.6</v>
      </c>
      <c r="F501" t="s">
        <v>19</v>
      </c>
      <c r="G501">
        <v>7330</v>
      </c>
      <c r="H501">
        <v>40.833333333333336</v>
      </c>
    </row>
    <row r="502" spans="1:8" x14ac:dyDescent="0.25">
      <c r="A502" t="s">
        <v>17</v>
      </c>
      <c r="B502" s="3" t="s">
        <v>28</v>
      </c>
      <c r="C502" t="s">
        <v>6</v>
      </c>
      <c r="D502">
        <v>6</v>
      </c>
      <c r="E502">
        <f t="shared" si="27"/>
        <v>5.6</v>
      </c>
      <c r="F502" t="s">
        <v>32</v>
      </c>
      <c r="G502">
        <v>7330</v>
      </c>
      <c r="H502">
        <v>35.333333333333336</v>
      </c>
    </row>
    <row r="503" spans="1:8" x14ac:dyDescent="0.25">
      <c r="A503" t="s">
        <v>16</v>
      </c>
      <c r="B503" s="3" t="s">
        <v>30</v>
      </c>
      <c r="C503" t="s">
        <v>3</v>
      </c>
      <c r="D503">
        <v>8</v>
      </c>
      <c r="E503">
        <f t="shared" si="27"/>
        <v>6.8</v>
      </c>
      <c r="F503" t="s">
        <v>18</v>
      </c>
      <c r="G503">
        <v>7330</v>
      </c>
      <c r="H503">
        <v>40.4</v>
      </c>
    </row>
    <row r="504" spans="1:8" x14ac:dyDescent="0.25">
      <c r="A504" t="s">
        <v>16</v>
      </c>
      <c r="B504" s="3" t="s">
        <v>30</v>
      </c>
      <c r="C504" t="s">
        <v>3</v>
      </c>
      <c r="D504">
        <v>8</v>
      </c>
      <c r="E504">
        <f t="shared" si="27"/>
        <v>6.8</v>
      </c>
      <c r="F504" t="s">
        <v>19</v>
      </c>
      <c r="G504">
        <v>7330</v>
      </c>
      <c r="H504">
        <v>44.4</v>
      </c>
    </row>
    <row r="505" spans="1:8" x14ac:dyDescent="0.25">
      <c r="A505" t="s">
        <v>17</v>
      </c>
      <c r="B505" s="3" t="s">
        <v>30</v>
      </c>
      <c r="C505" t="s">
        <v>3</v>
      </c>
      <c r="D505">
        <v>8</v>
      </c>
      <c r="E505">
        <f t="shared" si="27"/>
        <v>6.8</v>
      </c>
      <c r="F505" t="s">
        <v>32</v>
      </c>
      <c r="G505">
        <v>7330</v>
      </c>
      <c r="H505">
        <v>38.6</v>
      </c>
    </row>
    <row r="506" spans="1:8" x14ac:dyDescent="0.25">
      <c r="A506" t="s">
        <v>16</v>
      </c>
      <c r="B506" s="2">
        <v>1</v>
      </c>
      <c r="C506" s="2">
        <v>1</v>
      </c>
      <c r="D506" s="1">
        <v>10</v>
      </c>
      <c r="E506">
        <v>2</v>
      </c>
      <c r="F506" t="s">
        <v>18</v>
      </c>
      <c r="G506">
        <v>7331</v>
      </c>
      <c r="H506">
        <v>17.5</v>
      </c>
    </row>
    <row r="507" spans="1:8" x14ac:dyDescent="0.25">
      <c r="A507" t="s">
        <v>16</v>
      </c>
      <c r="B507" s="2">
        <v>1</v>
      </c>
      <c r="C507" s="2">
        <v>1</v>
      </c>
      <c r="D507" s="1">
        <v>10</v>
      </c>
      <c r="E507">
        <v>8</v>
      </c>
      <c r="F507" t="s">
        <v>19</v>
      </c>
      <c r="G507">
        <v>7331</v>
      </c>
      <c r="H507">
        <v>80</v>
      </c>
    </row>
    <row r="508" spans="1:8" x14ac:dyDescent="0.25">
      <c r="A508" t="s">
        <v>16</v>
      </c>
      <c r="B508" s="2">
        <v>1</v>
      </c>
      <c r="C508" s="2">
        <v>1</v>
      </c>
      <c r="D508" s="1">
        <v>10</v>
      </c>
      <c r="E508">
        <v>5</v>
      </c>
      <c r="F508" t="s">
        <v>32</v>
      </c>
      <c r="G508">
        <v>7331</v>
      </c>
      <c r="H508">
        <v>41.666666666666664</v>
      </c>
    </row>
    <row r="509" spans="1:8" x14ac:dyDescent="0.25">
      <c r="A509" t="s">
        <v>16</v>
      </c>
      <c r="B509" s="3" t="s">
        <v>22</v>
      </c>
      <c r="C509" t="s">
        <v>10</v>
      </c>
      <c r="D509">
        <v>2</v>
      </c>
      <c r="E509">
        <f t="shared" ref="E509:E523" si="28">(D509*8+(10-D509)*2)/10</f>
        <v>3.2</v>
      </c>
      <c r="F509" t="s">
        <v>18</v>
      </c>
      <c r="G509">
        <v>7331</v>
      </c>
      <c r="H509">
        <v>20</v>
      </c>
    </row>
    <row r="510" spans="1:8" x14ac:dyDescent="0.25">
      <c r="A510" t="s">
        <v>16</v>
      </c>
      <c r="B510" s="3" t="s">
        <v>22</v>
      </c>
      <c r="C510" t="s">
        <v>10</v>
      </c>
      <c r="D510">
        <v>2</v>
      </c>
      <c r="E510">
        <f t="shared" si="28"/>
        <v>3.2</v>
      </c>
      <c r="F510" t="s">
        <v>19</v>
      </c>
      <c r="G510">
        <v>7331</v>
      </c>
      <c r="H510">
        <v>21.666666666666668</v>
      </c>
    </row>
    <row r="511" spans="1:8" x14ac:dyDescent="0.25">
      <c r="A511" t="s">
        <v>17</v>
      </c>
      <c r="B511" s="3" t="s">
        <v>22</v>
      </c>
      <c r="C511" t="s">
        <v>10</v>
      </c>
      <c r="D511">
        <v>2</v>
      </c>
      <c r="E511">
        <f t="shared" si="28"/>
        <v>3.2</v>
      </c>
      <c r="F511" t="s">
        <v>32</v>
      </c>
      <c r="G511">
        <v>7331</v>
      </c>
      <c r="H511">
        <v>20</v>
      </c>
    </row>
    <row r="512" spans="1:8" x14ac:dyDescent="0.25">
      <c r="A512" t="s">
        <v>16</v>
      </c>
      <c r="B512" s="3" t="s">
        <v>24</v>
      </c>
      <c r="C512" t="s">
        <v>12</v>
      </c>
      <c r="D512">
        <v>4</v>
      </c>
      <c r="E512">
        <f t="shared" si="28"/>
        <v>4.4000000000000004</v>
      </c>
      <c r="F512" t="s">
        <v>18</v>
      </c>
      <c r="G512">
        <v>7331</v>
      </c>
      <c r="H512">
        <v>30</v>
      </c>
    </row>
    <row r="513" spans="1:8" x14ac:dyDescent="0.25">
      <c r="A513" t="s">
        <v>16</v>
      </c>
      <c r="B513" s="3" t="s">
        <v>24</v>
      </c>
      <c r="C513" t="s">
        <v>12</v>
      </c>
      <c r="D513">
        <v>4</v>
      </c>
      <c r="E513">
        <f t="shared" si="28"/>
        <v>4.4000000000000004</v>
      </c>
      <c r="F513" t="s">
        <v>19</v>
      </c>
      <c r="G513">
        <v>7331</v>
      </c>
      <c r="H513">
        <v>31.666666666666668</v>
      </c>
    </row>
    <row r="514" spans="1:8" x14ac:dyDescent="0.25">
      <c r="A514" t="s">
        <v>17</v>
      </c>
      <c r="B514" s="3" t="s">
        <v>24</v>
      </c>
      <c r="C514" t="s">
        <v>12</v>
      </c>
      <c r="D514">
        <v>4</v>
      </c>
      <c r="E514">
        <f t="shared" si="28"/>
        <v>4.4000000000000004</v>
      </c>
      <c r="F514" t="s">
        <v>32</v>
      </c>
      <c r="G514">
        <v>7331</v>
      </c>
      <c r="H514">
        <v>30</v>
      </c>
    </row>
    <row r="515" spans="1:8" x14ac:dyDescent="0.25">
      <c r="A515" t="s">
        <v>16</v>
      </c>
      <c r="B515" s="3" t="s">
        <v>26</v>
      </c>
      <c r="C515" t="s">
        <v>8</v>
      </c>
      <c r="D515">
        <v>5</v>
      </c>
      <c r="E515">
        <f t="shared" si="28"/>
        <v>5</v>
      </c>
      <c r="F515" t="s">
        <v>18</v>
      </c>
      <c r="G515">
        <v>7331</v>
      </c>
      <c r="H515">
        <v>55</v>
      </c>
    </row>
    <row r="516" spans="1:8" x14ac:dyDescent="0.25">
      <c r="A516" t="s">
        <v>16</v>
      </c>
      <c r="B516" s="3" t="s">
        <v>26</v>
      </c>
      <c r="C516" t="s">
        <v>8</v>
      </c>
      <c r="D516">
        <v>5</v>
      </c>
      <c r="E516">
        <f t="shared" si="28"/>
        <v>5</v>
      </c>
      <c r="F516" t="s">
        <v>19</v>
      </c>
      <c r="G516">
        <v>7331</v>
      </c>
      <c r="H516">
        <v>55</v>
      </c>
    </row>
    <row r="517" spans="1:8" x14ac:dyDescent="0.25">
      <c r="A517" t="s">
        <v>17</v>
      </c>
      <c r="B517" s="3" t="s">
        <v>26</v>
      </c>
      <c r="C517" t="s">
        <v>8</v>
      </c>
      <c r="D517">
        <v>5</v>
      </c>
      <c r="E517">
        <f t="shared" si="28"/>
        <v>5</v>
      </c>
      <c r="F517" t="s">
        <v>32</v>
      </c>
      <c r="G517">
        <v>7331</v>
      </c>
      <c r="H517">
        <v>54.8</v>
      </c>
    </row>
    <row r="518" spans="1:8" x14ac:dyDescent="0.25">
      <c r="A518" t="s">
        <v>16</v>
      </c>
      <c r="B518" s="3" t="s">
        <v>28</v>
      </c>
      <c r="C518" t="s">
        <v>6</v>
      </c>
      <c r="D518">
        <v>6</v>
      </c>
      <c r="E518">
        <f t="shared" si="28"/>
        <v>5.6</v>
      </c>
      <c r="F518" t="s">
        <v>18</v>
      </c>
      <c r="G518">
        <v>7331</v>
      </c>
      <c r="H518">
        <v>60</v>
      </c>
    </row>
    <row r="519" spans="1:8" x14ac:dyDescent="0.25">
      <c r="A519" t="s">
        <v>16</v>
      </c>
      <c r="B519" s="3" t="s">
        <v>28</v>
      </c>
      <c r="C519" t="s">
        <v>6</v>
      </c>
      <c r="D519">
        <v>6</v>
      </c>
      <c r="E519">
        <f t="shared" si="28"/>
        <v>5.6</v>
      </c>
      <c r="F519" t="s">
        <v>19</v>
      </c>
      <c r="G519">
        <v>7331</v>
      </c>
      <c r="H519">
        <v>60</v>
      </c>
    </row>
    <row r="520" spans="1:8" x14ac:dyDescent="0.25">
      <c r="A520" t="s">
        <v>17</v>
      </c>
      <c r="B520" s="3" t="s">
        <v>28</v>
      </c>
      <c r="C520" t="s">
        <v>6</v>
      </c>
      <c r="D520">
        <v>6</v>
      </c>
      <c r="E520">
        <f t="shared" si="28"/>
        <v>5.6</v>
      </c>
      <c r="F520" t="s">
        <v>32</v>
      </c>
      <c r="G520">
        <v>7331</v>
      </c>
      <c r="H520">
        <v>60</v>
      </c>
    </row>
    <row r="521" spans="1:8" x14ac:dyDescent="0.25">
      <c r="A521" t="s">
        <v>16</v>
      </c>
      <c r="B521" s="3" t="s">
        <v>30</v>
      </c>
      <c r="C521" t="s">
        <v>3</v>
      </c>
      <c r="D521">
        <v>8</v>
      </c>
      <c r="E521">
        <f t="shared" si="28"/>
        <v>6.8</v>
      </c>
      <c r="F521" t="s">
        <v>18</v>
      </c>
      <c r="G521">
        <v>7331</v>
      </c>
      <c r="H521">
        <v>80</v>
      </c>
    </row>
    <row r="522" spans="1:8" x14ac:dyDescent="0.25">
      <c r="A522" t="s">
        <v>16</v>
      </c>
      <c r="B522" s="3" t="s">
        <v>30</v>
      </c>
      <c r="C522" t="s">
        <v>3</v>
      </c>
      <c r="D522">
        <v>8</v>
      </c>
      <c r="E522">
        <f t="shared" si="28"/>
        <v>6.8</v>
      </c>
      <c r="F522" t="s">
        <v>19</v>
      </c>
      <c r="G522">
        <v>7331</v>
      </c>
      <c r="H522">
        <v>80</v>
      </c>
    </row>
    <row r="523" spans="1:8" x14ac:dyDescent="0.25">
      <c r="A523" t="s">
        <v>17</v>
      </c>
      <c r="B523" s="3" t="s">
        <v>30</v>
      </c>
      <c r="C523" t="s">
        <v>3</v>
      </c>
      <c r="D523">
        <v>8</v>
      </c>
      <c r="E523">
        <f t="shared" si="28"/>
        <v>6.8</v>
      </c>
      <c r="F523" t="s">
        <v>32</v>
      </c>
      <c r="G523">
        <v>7331</v>
      </c>
      <c r="H523">
        <v>80</v>
      </c>
    </row>
    <row r="524" spans="1:8" x14ac:dyDescent="0.25">
      <c r="A524" t="s">
        <v>16</v>
      </c>
      <c r="B524" s="2">
        <v>1</v>
      </c>
      <c r="C524" s="2">
        <v>1</v>
      </c>
      <c r="D524" s="1">
        <v>10</v>
      </c>
      <c r="E524">
        <v>2</v>
      </c>
      <c r="F524" t="s">
        <v>18</v>
      </c>
      <c r="G524">
        <v>7332</v>
      </c>
      <c r="H524">
        <v>6.833333333333333</v>
      </c>
    </row>
    <row r="525" spans="1:8" x14ac:dyDescent="0.25">
      <c r="A525" t="s">
        <v>16</v>
      </c>
      <c r="B525" s="2">
        <v>1</v>
      </c>
      <c r="C525" s="2">
        <v>1</v>
      </c>
      <c r="D525" s="1">
        <v>10</v>
      </c>
      <c r="E525">
        <v>8</v>
      </c>
      <c r="F525" t="s">
        <v>19</v>
      </c>
      <c r="G525">
        <v>7332</v>
      </c>
      <c r="H525">
        <v>35.333333333333336</v>
      </c>
    </row>
    <row r="526" spans="1:8" x14ac:dyDescent="0.25">
      <c r="A526" t="s">
        <v>16</v>
      </c>
      <c r="B526" s="2">
        <v>1</v>
      </c>
      <c r="C526" s="2">
        <v>1</v>
      </c>
      <c r="D526" s="1">
        <v>10</v>
      </c>
      <c r="E526">
        <v>5</v>
      </c>
      <c r="F526" t="s">
        <v>32</v>
      </c>
      <c r="G526">
        <v>7332</v>
      </c>
      <c r="H526">
        <v>18.666666666666668</v>
      </c>
    </row>
    <row r="527" spans="1:8" x14ac:dyDescent="0.25">
      <c r="A527" t="s">
        <v>16</v>
      </c>
      <c r="B527" s="3" t="s">
        <v>22</v>
      </c>
      <c r="C527" t="s">
        <v>10</v>
      </c>
      <c r="D527">
        <v>2</v>
      </c>
      <c r="E527">
        <f t="shared" ref="E527:E541" si="29">(D527*8+(10-D527)*2)/10</f>
        <v>3.2</v>
      </c>
      <c r="F527" t="s">
        <v>18</v>
      </c>
      <c r="G527">
        <v>7332</v>
      </c>
      <c r="H527">
        <v>4</v>
      </c>
    </row>
    <row r="528" spans="1:8" x14ac:dyDescent="0.25">
      <c r="A528" t="s">
        <v>16</v>
      </c>
      <c r="B528" s="3" t="s">
        <v>22</v>
      </c>
      <c r="C528" t="s">
        <v>10</v>
      </c>
      <c r="D528">
        <v>2</v>
      </c>
      <c r="E528">
        <f t="shared" si="29"/>
        <v>3.2</v>
      </c>
      <c r="F528" t="s">
        <v>19</v>
      </c>
      <c r="G528">
        <v>7332</v>
      </c>
      <c r="H528">
        <v>22.4</v>
      </c>
    </row>
    <row r="529" spans="1:8" x14ac:dyDescent="0.25">
      <c r="A529" t="s">
        <v>17</v>
      </c>
      <c r="B529" s="3" t="s">
        <v>22</v>
      </c>
      <c r="C529" t="s">
        <v>10</v>
      </c>
      <c r="D529">
        <v>2</v>
      </c>
      <c r="E529">
        <f t="shared" si="29"/>
        <v>3.2</v>
      </c>
      <c r="F529" t="s">
        <v>32</v>
      </c>
      <c r="G529">
        <v>7332</v>
      </c>
      <c r="H529">
        <v>8.1666666666666661</v>
      </c>
    </row>
    <row r="530" spans="1:8" x14ac:dyDescent="0.25">
      <c r="A530" t="s">
        <v>16</v>
      </c>
      <c r="B530" s="3" t="s">
        <v>24</v>
      </c>
      <c r="C530" t="s">
        <v>12</v>
      </c>
      <c r="D530">
        <v>4</v>
      </c>
      <c r="E530">
        <f t="shared" si="29"/>
        <v>4.4000000000000004</v>
      </c>
      <c r="F530" t="s">
        <v>18</v>
      </c>
      <c r="G530">
        <v>7332</v>
      </c>
      <c r="H530">
        <v>4.666666666666667</v>
      </c>
    </row>
    <row r="531" spans="1:8" x14ac:dyDescent="0.25">
      <c r="A531" t="s">
        <v>16</v>
      </c>
      <c r="B531" s="3" t="s">
        <v>24</v>
      </c>
      <c r="C531" t="s">
        <v>12</v>
      </c>
      <c r="D531">
        <v>4</v>
      </c>
      <c r="E531">
        <f t="shared" si="29"/>
        <v>4.4000000000000004</v>
      </c>
      <c r="F531" t="s">
        <v>19</v>
      </c>
      <c r="G531">
        <v>7332</v>
      </c>
      <c r="H531">
        <v>20.2</v>
      </c>
    </row>
    <row r="532" spans="1:8" x14ac:dyDescent="0.25">
      <c r="A532" t="s">
        <v>17</v>
      </c>
      <c r="B532" s="3" t="s">
        <v>24</v>
      </c>
      <c r="C532" t="s">
        <v>12</v>
      </c>
      <c r="D532">
        <v>4</v>
      </c>
      <c r="E532">
        <f t="shared" si="29"/>
        <v>4.4000000000000004</v>
      </c>
      <c r="F532" t="s">
        <v>32</v>
      </c>
      <c r="G532">
        <v>7332</v>
      </c>
      <c r="H532">
        <v>10</v>
      </c>
    </row>
    <row r="533" spans="1:8" x14ac:dyDescent="0.25">
      <c r="A533" t="s">
        <v>16</v>
      </c>
      <c r="B533" s="3" t="s">
        <v>26</v>
      </c>
      <c r="C533" t="s">
        <v>8</v>
      </c>
      <c r="D533">
        <v>5</v>
      </c>
      <c r="E533">
        <f t="shared" si="29"/>
        <v>5</v>
      </c>
      <c r="F533" t="s">
        <v>18</v>
      </c>
      <c r="G533">
        <v>7332</v>
      </c>
      <c r="H533">
        <v>5.5</v>
      </c>
    </row>
    <row r="534" spans="1:8" x14ac:dyDescent="0.25">
      <c r="A534" t="s">
        <v>16</v>
      </c>
      <c r="B534" s="3" t="s">
        <v>26</v>
      </c>
      <c r="C534" t="s">
        <v>8</v>
      </c>
      <c r="D534">
        <v>5</v>
      </c>
      <c r="E534">
        <f t="shared" si="29"/>
        <v>5</v>
      </c>
      <c r="F534" t="s">
        <v>19</v>
      </c>
      <c r="G534">
        <v>7332</v>
      </c>
      <c r="H534">
        <v>22.666666666666668</v>
      </c>
    </row>
    <row r="535" spans="1:8" x14ac:dyDescent="0.25">
      <c r="A535" t="s">
        <v>17</v>
      </c>
      <c r="B535" s="3" t="s">
        <v>26</v>
      </c>
      <c r="C535" t="s">
        <v>8</v>
      </c>
      <c r="D535">
        <v>5</v>
      </c>
      <c r="E535">
        <f t="shared" si="29"/>
        <v>5</v>
      </c>
      <c r="F535" t="s">
        <v>32</v>
      </c>
      <c r="G535">
        <v>7332</v>
      </c>
      <c r="H535">
        <v>11.333333333333334</v>
      </c>
    </row>
    <row r="536" spans="1:8" x14ac:dyDescent="0.25">
      <c r="A536" t="s">
        <v>16</v>
      </c>
      <c r="B536" s="3" t="s">
        <v>28</v>
      </c>
      <c r="C536" t="s">
        <v>6</v>
      </c>
      <c r="D536">
        <v>6</v>
      </c>
      <c r="E536">
        <f t="shared" si="29"/>
        <v>5.6</v>
      </c>
      <c r="F536" t="s">
        <v>18</v>
      </c>
      <c r="G536">
        <v>7332</v>
      </c>
      <c r="H536">
        <v>9.1999999999999993</v>
      </c>
    </row>
    <row r="537" spans="1:8" x14ac:dyDescent="0.25">
      <c r="A537" t="s">
        <v>16</v>
      </c>
      <c r="B537" s="3" t="s">
        <v>28</v>
      </c>
      <c r="C537" t="s">
        <v>6</v>
      </c>
      <c r="D537">
        <v>6</v>
      </c>
      <c r="E537">
        <f t="shared" si="29"/>
        <v>5.6</v>
      </c>
      <c r="F537" t="s">
        <v>19</v>
      </c>
      <c r="G537">
        <v>7332</v>
      </c>
      <c r="H537">
        <v>19.833333333333332</v>
      </c>
    </row>
    <row r="538" spans="1:8" x14ac:dyDescent="0.25">
      <c r="A538" t="s">
        <v>17</v>
      </c>
      <c r="B538" s="3" t="s">
        <v>28</v>
      </c>
      <c r="C538" t="s">
        <v>6</v>
      </c>
      <c r="D538">
        <v>6</v>
      </c>
      <c r="E538">
        <f t="shared" si="29"/>
        <v>5.6</v>
      </c>
      <c r="F538" t="s">
        <v>32</v>
      </c>
      <c r="G538">
        <v>7332</v>
      </c>
      <c r="H538">
        <v>14.833333333333334</v>
      </c>
    </row>
    <row r="539" spans="1:8" x14ac:dyDescent="0.25">
      <c r="A539" t="s">
        <v>16</v>
      </c>
      <c r="B539" s="3" t="s">
        <v>30</v>
      </c>
      <c r="C539" t="s">
        <v>3</v>
      </c>
      <c r="D539">
        <v>8</v>
      </c>
      <c r="E539">
        <f t="shared" si="29"/>
        <v>6.8</v>
      </c>
      <c r="F539" t="s">
        <v>18</v>
      </c>
      <c r="G539">
        <v>7332</v>
      </c>
      <c r="H539">
        <v>17.600000000000001</v>
      </c>
    </row>
    <row r="540" spans="1:8" x14ac:dyDescent="0.25">
      <c r="A540" t="s">
        <v>16</v>
      </c>
      <c r="B540" s="3" t="s">
        <v>30</v>
      </c>
      <c r="C540" t="s">
        <v>3</v>
      </c>
      <c r="D540">
        <v>8</v>
      </c>
      <c r="E540">
        <f t="shared" si="29"/>
        <v>6.8</v>
      </c>
      <c r="F540" t="s">
        <v>19</v>
      </c>
      <c r="G540">
        <v>7332</v>
      </c>
      <c r="H540">
        <v>25.666666666666668</v>
      </c>
    </row>
    <row r="541" spans="1:8" x14ac:dyDescent="0.25">
      <c r="A541" t="s">
        <v>17</v>
      </c>
      <c r="B541" s="3" t="s">
        <v>30</v>
      </c>
      <c r="C541" t="s">
        <v>3</v>
      </c>
      <c r="D541">
        <v>8</v>
      </c>
      <c r="E541">
        <f t="shared" si="29"/>
        <v>6.8</v>
      </c>
      <c r="F541" t="s">
        <v>32</v>
      </c>
      <c r="G541">
        <v>7332</v>
      </c>
      <c r="H541">
        <v>16.666666666666668</v>
      </c>
    </row>
    <row r="542" spans="1:8" x14ac:dyDescent="0.25">
      <c r="A542" t="s">
        <v>16</v>
      </c>
      <c r="B542" s="2">
        <v>1</v>
      </c>
      <c r="C542" s="2">
        <v>1</v>
      </c>
      <c r="D542" s="1">
        <v>10</v>
      </c>
      <c r="E542">
        <v>2</v>
      </c>
      <c r="F542" t="s">
        <v>18</v>
      </c>
      <c r="G542">
        <v>7333</v>
      </c>
      <c r="H542">
        <v>32.833333333333336</v>
      </c>
    </row>
    <row r="543" spans="1:8" x14ac:dyDescent="0.25">
      <c r="A543" t="s">
        <v>16</v>
      </c>
      <c r="B543" s="2">
        <v>1</v>
      </c>
      <c r="C543" s="2">
        <v>1</v>
      </c>
      <c r="D543" s="1">
        <v>10</v>
      </c>
      <c r="E543">
        <v>8</v>
      </c>
      <c r="F543" t="s">
        <v>19</v>
      </c>
      <c r="G543">
        <v>7333</v>
      </c>
      <c r="H543">
        <v>85.8</v>
      </c>
    </row>
    <row r="544" spans="1:8" x14ac:dyDescent="0.25">
      <c r="A544" t="s">
        <v>16</v>
      </c>
      <c r="B544" s="2">
        <v>1</v>
      </c>
      <c r="C544" s="2">
        <v>1</v>
      </c>
      <c r="D544" s="1">
        <v>10</v>
      </c>
      <c r="E544">
        <v>5</v>
      </c>
      <c r="F544" t="s">
        <v>32</v>
      </c>
      <c r="G544">
        <v>7333</v>
      </c>
      <c r="H544">
        <v>47.5</v>
      </c>
    </row>
    <row r="545" spans="1:8" x14ac:dyDescent="0.25">
      <c r="A545" t="s">
        <v>16</v>
      </c>
      <c r="B545" s="3" t="s">
        <v>22</v>
      </c>
      <c r="C545" t="s">
        <v>10</v>
      </c>
      <c r="D545">
        <v>2</v>
      </c>
      <c r="E545">
        <f t="shared" ref="E545:E559" si="30">(D545*8+(10-D545)*2)/10</f>
        <v>3.2</v>
      </c>
      <c r="F545" t="s">
        <v>18</v>
      </c>
      <c r="G545">
        <v>7333</v>
      </c>
      <c r="H545">
        <v>37.5</v>
      </c>
    </row>
    <row r="546" spans="1:8" x14ac:dyDescent="0.25">
      <c r="A546" t="s">
        <v>16</v>
      </c>
      <c r="B546" s="3" t="s">
        <v>22</v>
      </c>
      <c r="C546" t="s">
        <v>10</v>
      </c>
      <c r="D546">
        <v>2</v>
      </c>
      <c r="E546">
        <f t="shared" si="30"/>
        <v>3.2</v>
      </c>
      <c r="F546" t="s">
        <v>19</v>
      </c>
      <c r="G546">
        <v>7333</v>
      </c>
      <c r="H546">
        <v>53</v>
      </c>
    </row>
    <row r="547" spans="1:8" x14ac:dyDescent="0.25">
      <c r="A547" t="s">
        <v>17</v>
      </c>
      <c r="B547" s="3" t="s">
        <v>22</v>
      </c>
      <c r="C547" t="s">
        <v>10</v>
      </c>
      <c r="D547">
        <v>2</v>
      </c>
      <c r="E547">
        <f t="shared" si="30"/>
        <v>3.2</v>
      </c>
      <c r="F547" t="s">
        <v>32</v>
      </c>
      <c r="G547">
        <v>7333</v>
      </c>
      <c r="H547">
        <v>42.166666666666664</v>
      </c>
    </row>
    <row r="548" spans="1:8" x14ac:dyDescent="0.25">
      <c r="A548" t="s">
        <v>16</v>
      </c>
      <c r="B548" s="3" t="s">
        <v>24</v>
      </c>
      <c r="C548" t="s">
        <v>12</v>
      </c>
      <c r="D548">
        <v>4</v>
      </c>
      <c r="E548">
        <f t="shared" si="30"/>
        <v>4.4000000000000004</v>
      </c>
      <c r="F548" t="s">
        <v>18</v>
      </c>
      <c r="G548">
        <v>7333</v>
      </c>
      <c r="H548">
        <v>40.666666666666664</v>
      </c>
    </row>
    <row r="549" spans="1:8" x14ac:dyDescent="0.25">
      <c r="A549" t="s">
        <v>16</v>
      </c>
      <c r="B549" s="3" t="s">
        <v>24</v>
      </c>
      <c r="C549" t="s">
        <v>12</v>
      </c>
      <c r="D549">
        <v>4</v>
      </c>
      <c r="E549">
        <f t="shared" si="30"/>
        <v>4.4000000000000004</v>
      </c>
      <c r="F549" t="s">
        <v>19</v>
      </c>
      <c r="G549">
        <v>7333</v>
      </c>
      <c r="H549">
        <v>52</v>
      </c>
    </row>
    <row r="550" spans="1:8" x14ac:dyDescent="0.25">
      <c r="A550" t="s">
        <v>17</v>
      </c>
      <c r="B550" s="3" t="s">
        <v>24</v>
      </c>
      <c r="C550" t="s">
        <v>12</v>
      </c>
      <c r="D550">
        <v>4</v>
      </c>
      <c r="E550">
        <f t="shared" si="30"/>
        <v>4.4000000000000004</v>
      </c>
      <c r="F550" t="s">
        <v>32</v>
      </c>
      <c r="G550">
        <v>7333</v>
      </c>
      <c r="H550">
        <v>51.166666666666664</v>
      </c>
    </row>
    <row r="551" spans="1:8" x14ac:dyDescent="0.25">
      <c r="A551" t="s">
        <v>16</v>
      </c>
      <c r="B551" s="3" t="s">
        <v>26</v>
      </c>
      <c r="C551" t="s">
        <v>8</v>
      </c>
      <c r="D551">
        <v>5</v>
      </c>
      <c r="E551">
        <f t="shared" si="30"/>
        <v>5</v>
      </c>
      <c r="F551" t="s">
        <v>18</v>
      </c>
      <c r="G551">
        <v>7333</v>
      </c>
      <c r="H551">
        <v>44</v>
      </c>
    </row>
    <row r="552" spans="1:8" x14ac:dyDescent="0.25">
      <c r="A552" t="s">
        <v>16</v>
      </c>
      <c r="B552" s="3" t="s">
        <v>26</v>
      </c>
      <c r="C552" t="s">
        <v>8</v>
      </c>
      <c r="D552">
        <v>5</v>
      </c>
      <c r="E552">
        <f t="shared" si="30"/>
        <v>5</v>
      </c>
      <c r="F552" t="s">
        <v>19</v>
      </c>
      <c r="G552">
        <v>7333</v>
      </c>
      <c r="H552">
        <v>65</v>
      </c>
    </row>
    <row r="553" spans="1:8" x14ac:dyDescent="0.25">
      <c r="A553" t="s">
        <v>17</v>
      </c>
      <c r="B553" s="3" t="s">
        <v>26</v>
      </c>
      <c r="C553" t="s">
        <v>8</v>
      </c>
      <c r="D553">
        <v>5</v>
      </c>
      <c r="E553">
        <f t="shared" si="30"/>
        <v>5</v>
      </c>
      <c r="F553" t="s">
        <v>32</v>
      </c>
      <c r="G553">
        <v>7333</v>
      </c>
      <c r="H553">
        <v>49.5</v>
      </c>
    </row>
    <row r="554" spans="1:8" x14ac:dyDescent="0.25">
      <c r="A554" t="s">
        <v>16</v>
      </c>
      <c r="B554" s="3" t="s">
        <v>28</v>
      </c>
      <c r="C554" t="s">
        <v>6</v>
      </c>
      <c r="D554">
        <v>6</v>
      </c>
      <c r="E554">
        <f t="shared" si="30"/>
        <v>5.6</v>
      </c>
      <c r="F554" t="s">
        <v>18</v>
      </c>
      <c r="G554">
        <v>7333</v>
      </c>
      <c r="H554">
        <v>46.166666666666664</v>
      </c>
    </row>
    <row r="555" spans="1:8" x14ac:dyDescent="0.25">
      <c r="A555" t="s">
        <v>16</v>
      </c>
      <c r="B555" s="3" t="s">
        <v>28</v>
      </c>
      <c r="C555" t="s">
        <v>6</v>
      </c>
      <c r="D555">
        <v>6</v>
      </c>
      <c r="E555">
        <f t="shared" si="30"/>
        <v>5.6</v>
      </c>
      <c r="F555" t="s">
        <v>19</v>
      </c>
      <c r="G555">
        <v>7333</v>
      </c>
      <c r="H555">
        <v>58.333333333333336</v>
      </c>
    </row>
    <row r="556" spans="1:8" x14ac:dyDescent="0.25">
      <c r="A556" t="s">
        <v>17</v>
      </c>
      <c r="B556" s="3" t="s">
        <v>28</v>
      </c>
      <c r="C556" t="s">
        <v>6</v>
      </c>
      <c r="D556">
        <v>6</v>
      </c>
      <c r="E556">
        <f t="shared" si="30"/>
        <v>5.6</v>
      </c>
      <c r="F556" t="s">
        <v>32</v>
      </c>
      <c r="G556">
        <v>7333</v>
      </c>
      <c r="H556">
        <v>52.666666666666664</v>
      </c>
    </row>
    <row r="557" spans="1:8" x14ac:dyDescent="0.25">
      <c r="A557" t="s">
        <v>16</v>
      </c>
      <c r="B557" s="3" t="s">
        <v>30</v>
      </c>
      <c r="C557" t="s">
        <v>3</v>
      </c>
      <c r="D557">
        <v>8</v>
      </c>
      <c r="E557">
        <f t="shared" si="30"/>
        <v>6.8</v>
      </c>
      <c r="F557" t="s">
        <v>18</v>
      </c>
      <c r="G557">
        <v>7333</v>
      </c>
      <c r="H557">
        <v>65</v>
      </c>
    </row>
    <row r="558" spans="1:8" x14ac:dyDescent="0.25">
      <c r="A558" t="s">
        <v>16</v>
      </c>
      <c r="B558" s="3" t="s">
        <v>30</v>
      </c>
      <c r="C558" t="s">
        <v>3</v>
      </c>
      <c r="D558">
        <v>8</v>
      </c>
      <c r="E558">
        <f t="shared" si="30"/>
        <v>6.8</v>
      </c>
      <c r="F558" t="s">
        <v>19</v>
      </c>
      <c r="G558">
        <v>7333</v>
      </c>
      <c r="H558">
        <v>72</v>
      </c>
    </row>
    <row r="559" spans="1:8" x14ac:dyDescent="0.25">
      <c r="A559" t="s">
        <v>17</v>
      </c>
      <c r="B559" s="3" t="s">
        <v>30</v>
      </c>
      <c r="C559" t="s">
        <v>3</v>
      </c>
      <c r="D559">
        <v>8</v>
      </c>
      <c r="E559">
        <f t="shared" si="30"/>
        <v>6.8</v>
      </c>
      <c r="F559" t="s">
        <v>32</v>
      </c>
      <c r="G559">
        <v>7333</v>
      </c>
      <c r="H559">
        <v>64.599999999999994</v>
      </c>
    </row>
    <row r="560" spans="1:8" x14ac:dyDescent="0.25">
      <c r="A560" t="s">
        <v>16</v>
      </c>
      <c r="B560" s="2">
        <v>1</v>
      </c>
      <c r="C560" s="2">
        <v>1</v>
      </c>
      <c r="D560" s="1">
        <v>10</v>
      </c>
      <c r="E560">
        <v>2</v>
      </c>
      <c r="F560" t="s">
        <v>18</v>
      </c>
      <c r="G560">
        <v>7334</v>
      </c>
      <c r="H560">
        <v>40</v>
      </c>
    </row>
    <row r="561" spans="1:8" x14ac:dyDescent="0.25">
      <c r="A561" t="s">
        <v>16</v>
      </c>
      <c r="B561" s="2">
        <v>1</v>
      </c>
      <c r="C561" s="2">
        <v>1</v>
      </c>
      <c r="D561" s="1">
        <v>10</v>
      </c>
      <c r="E561">
        <v>8</v>
      </c>
      <c r="F561" t="s">
        <v>19</v>
      </c>
      <c r="G561">
        <v>7334</v>
      </c>
      <c r="H561">
        <v>73.333333333333329</v>
      </c>
    </row>
    <row r="562" spans="1:8" x14ac:dyDescent="0.25">
      <c r="A562" t="s">
        <v>16</v>
      </c>
      <c r="B562" s="2">
        <v>1</v>
      </c>
      <c r="C562" s="2">
        <v>1</v>
      </c>
      <c r="D562" s="1">
        <v>10</v>
      </c>
      <c r="E562">
        <v>5</v>
      </c>
      <c r="F562" t="s">
        <v>32</v>
      </c>
      <c r="G562">
        <v>7334</v>
      </c>
      <c r="H562">
        <v>55.666666666666664</v>
      </c>
    </row>
    <row r="563" spans="1:8" x14ac:dyDescent="0.25">
      <c r="A563" t="s">
        <v>16</v>
      </c>
      <c r="B563" s="3" t="s">
        <v>22</v>
      </c>
      <c r="C563" t="s">
        <v>10</v>
      </c>
      <c r="D563">
        <v>2</v>
      </c>
      <c r="E563">
        <f t="shared" ref="E563:E577" si="31">(D563*8+(10-D563)*2)/10</f>
        <v>3.2</v>
      </c>
      <c r="F563" t="s">
        <v>18</v>
      </c>
      <c r="G563">
        <v>7334</v>
      </c>
      <c r="H563">
        <v>40</v>
      </c>
    </row>
    <row r="564" spans="1:8" x14ac:dyDescent="0.25">
      <c r="A564" t="s">
        <v>16</v>
      </c>
      <c r="B564" s="3" t="s">
        <v>22</v>
      </c>
      <c r="C564" t="s">
        <v>10</v>
      </c>
      <c r="D564">
        <v>2</v>
      </c>
      <c r="E564">
        <f t="shared" si="31"/>
        <v>3.2</v>
      </c>
      <c r="F564" t="s">
        <v>19</v>
      </c>
      <c r="G564">
        <v>7334</v>
      </c>
      <c r="H564">
        <v>50</v>
      </c>
    </row>
    <row r="565" spans="1:8" x14ac:dyDescent="0.25">
      <c r="A565" t="s">
        <v>17</v>
      </c>
      <c r="B565" s="3" t="s">
        <v>22</v>
      </c>
      <c r="C565" t="s">
        <v>10</v>
      </c>
      <c r="D565">
        <v>2</v>
      </c>
      <c r="E565">
        <f t="shared" si="31"/>
        <v>3.2</v>
      </c>
      <c r="F565" t="s">
        <v>32</v>
      </c>
      <c r="G565">
        <v>7334</v>
      </c>
      <c r="H565">
        <v>39</v>
      </c>
    </row>
    <row r="566" spans="1:8" x14ac:dyDescent="0.25">
      <c r="A566" t="s">
        <v>16</v>
      </c>
      <c r="B566" s="3" t="s">
        <v>24</v>
      </c>
      <c r="C566" t="s">
        <v>12</v>
      </c>
      <c r="D566">
        <v>4</v>
      </c>
      <c r="E566">
        <f t="shared" si="31"/>
        <v>4.4000000000000004</v>
      </c>
      <c r="F566" t="s">
        <v>18</v>
      </c>
      <c r="G566">
        <v>7334</v>
      </c>
      <c r="H566">
        <v>43.333333333333336</v>
      </c>
    </row>
    <row r="567" spans="1:8" x14ac:dyDescent="0.25">
      <c r="A567" t="s">
        <v>16</v>
      </c>
      <c r="B567" s="3" t="s">
        <v>24</v>
      </c>
      <c r="C567" t="s">
        <v>12</v>
      </c>
      <c r="D567">
        <v>4</v>
      </c>
      <c r="E567">
        <f t="shared" si="31"/>
        <v>4.4000000000000004</v>
      </c>
      <c r="F567" t="s">
        <v>19</v>
      </c>
      <c r="G567">
        <v>7334</v>
      </c>
      <c r="H567">
        <v>59</v>
      </c>
    </row>
    <row r="568" spans="1:8" x14ac:dyDescent="0.25">
      <c r="A568" t="s">
        <v>17</v>
      </c>
      <c r="B568" s="3" t="s">
        <v>24</v>
      </c>
      <c r="C568" t="s">
        <v>12</v>
      </c>
      <c r="D568">
        <v>4</v>
      </c>
      <c r="E568">
        <f t="shared" si="31"/>
        <v>4.4000000000000004</v>
      </c>
      <c r="F568" t="s">
        <v>32</v>
      </c>
      <c r="G568">
        <v>7334</v>
      </c>
      <c r="H568">
        <v>45.833333333333336</v>
      </c>
    </row>
    <row r="569" spans="1:8" x14ac:dyDescent="0.25">
      <c r="A569" t="s">
        <v>16</v>
      </c>
      <c r="B569" s="3" t="s">
        <v>26</v>
      </c>
      <c r="C569" t="s">
        <v>8</v>
      </c>
      <c r="D569">
        <v>5</v>
      </c>
      <c r="E569">
        <f t="shared" si="31"/>
        <v>5</v>
      </c>
      <c r="F569" t="s">
        <v>18</v>
      </c>
      <c r="G569">
        <v>7334</v>
      </c>
      <c r="H569">
        <v>53.333333333333336</v>
      </c>
    </row>
    <row r="570" spans="1:8" x14ac:dyDescent="0.25">
      <c r="A570" t="s">
        <v>16</v>
      </c>
      <c r="B570" s="3" t="s">
        <v>26</v>
      </c>
      <c r="C570" t="s">
        <v>8</v>
      </c>
      <c r="D570">
        <v>5</v>
      </c>
      <c r="E570">
        <f t="shared" si="31"/>
        <v>5</v>
      </c>
      <c r="F570" t="s">
        <v>19</v>
      </c>
      <c r="G570">
        <v>7334</v>
      </c>
      <c r="H570">
        <v>60.833333333333336</v>
      </c>
    </row>
    <row r="571" spans="1:8" x14ac:dyDescent="0.25">
      <c r="A571" t="s">
        <v>17</v>
      </c>
      <c r="B571" s="3" t="s">
        <v>26</v>
      </c>
      <c r="C571" t="s">
        <v>8</v>
      </c>
      <c r="D571">
        <v>5</v>
      </c>
      <c r="E571">
        <f t="shared" si="31"/>
        <v>5</v>
      </c>
      <c r="F571" t="s">
        <v>32</v>
      </c>
      <c r="G571">
        <v>7334</v>
      </c>
      <c r="H571">
        <v>55</v>
      </c>
    </row>
    <row r="572" spans="1:8" x14ac:dyDescent="0.25">
      <c r="A572" t="s">
        <v>16</v>
      </c>
      <c r="B572" s="3" t="s">
        <v>28</v>
      </c>
      <c r="C572" t="s">
        <v>6</v>
      </c>
      <c r="D572">
        <v>6</v>
      </c>
      <c r="E572">
        <f t="shared" si="31"/>
        <v>5.6</v>
      </c>
      <c r="F572" t="s">
        <v>18</v>
      </c>
      <c r="G572">
        <v>7334</v>
      </c>
      <c r="H572">
        <v>46.666666666666664</v>
      </c>
    </row>
    <row r="573" spans="1:8" x14ac:dyDescent="0.25">
      <c r="A573" t="s">
        <v>16</v>
      </c>
      <c r="B573" s="3" t="s">
        <v>28</v>
      </c>
      <c r="C573" t="s">
        <v>6</v>
      </c>
      <c r="D573">
        <v>6</v>
      </c>
      <c r="E573">
        <f t="shared" si="31"/>
        <v>5.6</v>
      </c>
      <c r="F573" t="s">
        <v>19</v>
      </c>
      <c r="G573">
        <v>7334</v>
      </c>
      <c r="H573">
        <v>66.666666666666671</v>
      </c>
    </row>
    <row r="574" spans="1:8" x14ac:dyDescent="0.25">
      <c r="A574" t="s">
        <v>17</v>
      </c>
      <c r="B574" s="3" t="s">
        <v>28</v>
      </c>
      <c r="C574" t="s">
        <v>6</v>
      </c>
      <c r="D574">
        <v>6</v>
      </c>
      <c r="E574">
        <f t="shared" si="31"/>
        <v>5.6</v>
      </c>
      <c r="F574" t="s">
        <v>32</v>
      </c>
      <c r="G574">
        <v>7334</v>
      </c>
      <c r="H574">
        <v>57.166666666666664</v>
      </c>
    </row>
    <row r="575" spans="1:8" x14ac:dyDescent="0.25">
      <c r="A575" t="s">
        <v>16</v>
      </c>
      <c r="B575" s="3" t="s">
        <v>30</v>
      </c>
      <c r="C575" t="s">
        <v>3</v>
      </c>
      <c r="D575">
        <v>8</v>
      </c>
      <c r="E575">
        <f t="shared" si="31"/>
        <v>6.8</v>
      </c>
      <c r="F575" t="s">
        <v>18</v>
      </c>
      <c r="G575">
        <v>7334</v>
      </c>
      <c r="H575">
        <v>58.8</v>
      </c>
    </row>
    <row r="576" spans="1:8" x14ac:dyDescent="0.25">
      <c r="A576" t="s">
        <v>16</v>
      </c>
      <c r="B576" s="3" t="s">
        <v>30</v>
      </c>
      <c r="C576" t="s">
        <v>3</v>
      </c>
      <c r="D576">
        <v>8</v>
      </c>
      <c r="E576">
        <f t="shared" si="31"/>
        <v>6.8</v>
      </c>
      <c r="F576" t="s">
        <v>19</v>
      </c>
      <c r="G576">
        <v>7334</v>
      </c>
      <c r="H576">
        <v>73.333333333333329</v>
      </c>
    </row>
    <row r="577" spans="1:8" x14ac:dyDescent="0.25">
      <c r="A577" t="s">
        <v>17</v>
      </c>
      <c r="B577" s="3" t="s">
        <v>30</v>
      </c>
      <c r="C577" t="s">
        <v>3</v>
      </c>
      <c r="D577">
        <v>8</v>
      </c>
      <c r="E577">
        <f t="shared" si="31"/>
        <v>6.8</v>
      </c>
      <c r="F577" t="s">
        <v>32</v>
      </c>
      <c r="G577">
        <v>7334</v>
      </c>
      <c r="H577">
        <v>61.666666666666664</v>
      </c>
    </row>
    <row r="578" spans="1:8" x14ac:dyDescent="0.25">
      <c r="A578" t="s">
        <v>16</v>
      </c>
      <c r="B578" s="2">
        <v>1</v>
      </c>
      <c r="C578" s="2">
        <v>1</v>
      </c>
      <c r="D578" s="1">
        <v>10</v>
      </c>
      <c r="E578">
        <v>2</v>
      </c>
      <c r="F578" t="s">
        <v>18</v>
      </c>
      <c r="G578">
        <v>7335</v>
      </c>
      <c r="H578">
        <v>21.333333333333332</v>
      </c>
    </row>
    <row r="579" spans="1:8" x14ac:dyDescent="0.25">
      <c r="A579" t="s">
        <v>16</v>
      </c>
      <c r="B579" s="2">
        <v>1</v>
      </c>
      <c r="C579" s="2">
        <v>1</v>
      </c>
      <c r="D579" s="1">
        <v>10</v>
      </c>
      <c r="E579">
        <v>8</v>
      </c>
      <c r="F579" t="s">
        <v>19</v>
      </c>
      <c r="G579">
        <v>7335</v>
      </c>
      <c r="H579">
        <v>78.8</v>
      </c>
    </row>
    <row r="580" spans="1:8" x14ac:dyDescent="0.25">
      <c r="A580" t="s">
        <v>16</v>
      </c>
      <c r="B580" s="2">
        <v>1</v>
      </c>
      <c r="C580" s="2">
        <v>1</v>
      </c>
      <c r="D580" s="1">
        <v>10</v>
      </c>
      <c r="E580">
        <v>5</v>
      </c>
      <c r="F580" t="s">
        <v>32</v>
      </c>
      <c r="G580">
        <v>7335</v>
      </c>
      <c r="H580">
        <v>51.666666666666664</v>
      </c>
    </row>
    <row r="581" spans="1:8" x14ac:dyDescent="0.25">
      <c r="A581" t="s">
        <v>16</v>
      </c>
      <c r="B581" s="3" t="s">
        <v>22</v>
      </c>
      <c r="C581" t="s">
        <v>10</v>
      </c>
      <c r="D581">
        <v>2</v>
      </c>
      <c r="E581">
        <f t="shared" ref="E581:E595" si="32">(D581*8+(10-D581)*2)/10</f>
        <v>3.2</v>
      </c>
      <c r="F581" t="s">
        <v>18</v>
      </c>
      <c r="G581">
        <v>7335</v>
      </c>
      <c r="H581">
        <v>34</v>
      </c>
    </row>
    <row r="582" spans="1:8" x14ac:dyDescent="0.25">
      <c r="A582" t="s">
        <v>16</v>
      </c>
      <c r="B582" s="3" t="s">
        <v>22</v>
      </c>
      <c r="C582" t="s">
        <v>10</v>
      </c>
      <c r="D582">
        <v>2</v>
      </c>
      <c r="E582">
        <f t="shared" si="32"/>
        <v>3.2</v>
      </c>
      <c r="F582" t="s">
        <v>19</v>
      </c>
      <c r="G582">
        <v>7335</v>
      </c>
      <c r="H582">
        <v>38.5</v>
      </c>
    </row>
    <row r="583" spans="1:8" x14ac:dyDescent="0.25">
      <c r="A583" t="s">
        <v>17</v>
      </c>
      <c r="B583" s="3" t="s">
        <v>22</v>
      </c>
      <c r="C583" t="s">
        <v>10</v>
      </c>
      <c r="D583">
        <v>2</v>
      </c>
      <c r="E583">
        <f t="shared" si="32"/>
        <v>3.2</v>
      </c>
      <c r="F583" t="s">
        <v>32</v>
      </c>
      <c r="G583">
        <v>7335</v>
      </c>
      <c r="H583">
        <v>34.166666666666664</v>
      </c>
    </row>
    <row r="584" spans="1:8" x14ac:dyDescent="0.25">
      <c r="A584" t="s">
        <v>16</v>
      </c>
      <c r="B584" s="3" t="s">
        <v>24</v>
      </c>
      <c r="C584" t="s">
        <v>12</v>
      </c>
      <c r="D584">
        <v>4</v>
      </c>
      <c r="E584">
        <f t="shared" si="32"/>
        <v>4.4000000000000004</v>
      </c>
      <c r="F584" t="s">
        <v>18</v>
      </c>
      <c r="G584">
        <v>7335</v>
      </c>
      <c r="H584">
        <v>33.200000000000003</v>
      </c>
    </row>
    <row r="585" spans="1:8" x14ac:dyDescent="0.25">
      <c r="A585" t="s">
        <v>16</v>
      </c>
      <c r="B585" s="3" t="s">
        <v>24</v>
      </c>
      <c r="C585" t="s">
        <v>12</v>
      </c>
      <c r="D585">
        <v>4</v>
      </c>
      <c r="E585">
        <f t="shared" si="32"/>
        <v>4.4000000000000004</v>
      </c>
      <c r="F585" t="s">
        <v>19</v>
      </c>
      <c r="G585">
        <v>7335</v>
      </c>
      <c r="H585">
        <v>52</v>
      </c>
    </row>
    <row r="586" spans="1:8" x14ac:dyDescent="0.25">
      <c r="A586" t="s">
        <v>17</v>
      </c>
      <c r="B586" s="3" t="s">
        <v>24</v>
      </c>
      <c r="C586" t="s">
        <v>12</v>
      </c>
      <c r="D586">
        <v>4</v>
      </c>
      <c r="E586">
        <f t="shared" si="32"/>
        <v>4.4000000000000004</v>
      </c>
      <c r="F586" t="s">
        <v>32</v>
      </c>
      <c r="G586">
        <v>7335</v>
      </c>
      <c r="H586">
        <v>40.5</v>
      </c>
    </row>
    <row r="587" spans="1:8" x14ac:dyDescent="0.25">
      <c r="A587" t="s">
        <v>16</v>
      </c>
      <c r="B587" s="3" t="s">
        <v>26</v>
      </c>
      <c r="C587" t="s">
        <v>8</v>
      </c>
      <c r="D587">
        <v>5</v>
      </c>
      <c r="E587">
        <f t="shared" si="32"/>
        <v>5</v>
      </c>
      <c r="F587" t="s">
        <v>18</v>
      </c>
      <c r="G587">
        <v>7335</v>
      </c>
      <c r="H587">
        <v>42.333333333333336</v>
      </c>
    </row>
    <row r="588" spans="1:8" x14ac:dyDescent="0.25">
      <c r="A588" t="s">
        <v>16</v>
      </c>
      <c r="B588" s="3" t="s">
        <v>26</v>
      </c>
      <c r="C588" t="s">
        <v>8</v>
      </c>
      <c r="D588">
        <v>5</v>
      </c>
      <c r="E588">
        <f t="shared" si="32"/>
        <v>5</v>
      </c>
      <c r="F588" t="s">
        <v>19</v>
      </c>
      <c r="G588">
        <v>7335</v>
      </c>
      <c r="H588">
        <v>58.6</v>
      </c>
    </row>
    <row r="589" spans="1:8" x14ac:dyDescent="0.25">
      <c r="A589" t="s">
        <v>17</v>
      </c>
      <c r="B589" s="3" t="s">
        <v>26</v>
      </c>
      <c r="C589" t="s">
        <v>8</v>
      </c>
      <c r="D589">
        <v>5</v>
      </c>
      <c r="E589">
        <f t="shared" si="32"/>
        <v>5</v>
      </c>
      <c r="F589" t="s">
        <v>32</v>
      </c>
      <c r="G589">
        <v>7335</v>
      </c>
      <c r="H589">
        <v>49.5</v>
      </c>
    </row>
    <row r="590" spans="1:8" x14ac:dyDescent="0.25">
      <c r="A590" t="s">
        <v>16</v>
      </c>
      <c r="B590" s="3" t="s">
        <v>28</v>
      </c>
      <c r="C590" t="s">
        <v>6</v>
      </c>
      <c r="D590">
        <v>6</v>
      </c>
      <c r="E590">
        <f t="shared" si="32"/>
        <v>5.6</v>
      </c>
      <c r="F590" t="s">
        <v>18</v>
      </c>
      <c r="G590">
        <v>7335</v>
      </c>
      <c r="H590">
        <v>49.4</v>
      </c>
    </row>
    <row r="591" spans="1:8" x14ac:dyDescent="0.25">
      <c r="A591" t="s">
        <v>16</v>
      </c>
      <c r="B591" s="3" t="s">
        <v>28</v>
      </c>
      <c r="C591" t="s">
        <v>6</v>
      </c>
      <c r="D591">
        <v>6</v>
      </c>
      <c r="E591">
        <f t="shared" si="32"/>
        <v>5.6</v>
      </c>
      <c r="F591" t="s">
        <v>19</v>
      </c>
      <c r="G591">
        <v>7335</v>
      </c>
      <c r="H591">
        <v>64.8</v>
      </c>
    </row>
    <row r="592" spans="1:8" x14ac:dyDescent="0.25">
      <c r="A592" t="s">
        <v>17</v>
      </c>
      <c r="B592" s="3" t="s">
        <v>28</v>
      </c>
      <c r="C592" t="s">
        <v>6</v>
      </c>
      <c r="D592">
        <v>6</v>
      </c>
      <c r="E592">
        <f t="shared" si="32"/>
        <v>5.6</v>
      </c>
      <c r="F592" t="s">
        <v>32</v>
      </c>
      <c r="G592">
        <v>7335</v>
      </c>
      <c r="H592">
        <v>58</v>
      </c>
    </row>
    <row r="593" spans="1:8" x14ac:dyDescent="0.25">
      <c r="A593" t="s">
        <v>16</v>
      </c>
      <c r="B593" s="3" t="s">
        <v>30</v>
      </c>
      <c r="C593" t="s">
        <v>3</v>
      </c>
      <c r="D593">
        <v>8</v>
      </c>
      <c r="E593">
        <f t="shared" si="32"/>
        <v>6.8</v>
      </c>
      <c r="F593" t="s">
        <v>18</v>
      </c>
      <c r="G593">
        <v>7335</v>
      </c>
      <c r="H593">
        <v>55.166666666666664</v>
      </c>
    </row>
    <row r="594" spans="1:8" x14ac:dyDescent="0.25">
      <c r="A594" t="s">
        <v>16</v>
      </c>
      <c r="B594" s="3" t="s">
        <v>30</v>
      </c>
      <c r="C594" t="s">
        <v>3</v>
      </c>
      <c r="D594">
        <v>8</v>
      </c>
      <c r="E594">
        <f t="shared" si="32"/>
        <v>6.8</v>
      </c>
      <c r="F594" t="s">
        <v>19</v>
      </c>
      <c r="G594">
        <v>7335</v>
      </c>
      <c r="H594">
        <v>76</v>
      </c>
    </row>
    <row r="595" spans="1:8" x14ac:dyDescent="0.25">
      <c r="A595" t="s">
        <v>17</v>
      </c>
      <c r="B595" s="3" t="s">
        <v>30</v>
      </c>
      <c r="C595" t="s">
        <v>3</v>
      </c>
      <c r="D595">
        <v>8</v>
      </c>
      <c r="E595">
        <f t="shared" si="32"/>
        <v>6.8</v>
      </c>
      <c r="F595" t="s">
        <v>32</v>
      </c>
      <c r="G595">
        <v>7335</v>
      </c>
      <c r="H595">
        <v>66.8</v>
      </c>
    </row>
    <row r="596" spans="1:8" x14ac:dyDescent="0.25">
      <c r="A596" t="s">
        <v>16</v>
      </c>
      <c r="B596" s="2">
        <v>1</v>
      </c>
      <c r="C596" s="2">
        <v>1</v>
      </c>
      <c r="D596" s="1">
        <v>10</v>
      </c>
      <c r="E596">
        <v>2</v>
      </c>
      <c r="F596" t="s">
        <v>18</v>
      </c>
      <c r="G596">
        <v>7336</v>
      </c>
      <c r="H596">
        <v>34.333333333333336</v>
      </c>
    </row>
    <row r="597" spans="1:8" x14ac:dyDescent="0.25">
      <c r="A597" t="s">
        <v>16</v>
      </c>
      <c r="B597" s="2">
        <v>1</v>
      </c>
      <c r="C597" s="2">
        <v>1</v>
      </c>
      <c r="D597" s="1">
        <v>10</v>
      </c>
      <c r="E597">
        <v>8</v>
      </c>
      <c r="F597" t="s">
        <v>19</v>
      </c>
      <c r="G597">
        <v>7336</v>
      </c>
      <c r="H597">
        <v>96.666666666666671</v>
      </c>
    </row>
    <row r="598" spans="1:8" x14ac:dyDescent="0.25">
      <c r="A598" t="s">
        <v>16</v>
      </c>
      <c r="B598" s="2">
        <v>1</v>
      </c>
      <c r="C598" s="2">
        <v>1</v>
      </c>
      <c r="D598" s="1">
        <v>10</v>
      </c>
      <c r="E598">
        <v>5</v>
      </c>
      <c r="F598" t="s">
        <v>32</v>
      </c>
      <c r="G598">
        <v>7336</v>
      </c>
      <c r="H598">
        <v>55</v>
      </c>
    </row>
    <row r="599" spans="1:8" x14ac:dyDescent="0.25">
      <c r="A599" t="s">
        <v>16</v>
      </c>
      <c r="B599" s="3" t="s">
        <v>22</v>
      </c>
      <c r="C599" t="s">
        <v>10</v>
      </c>
      <c r="D599">
        <v>2</v>
      </c>
      <c r="E599">
        <f t="shared" ref="E599:E613" si="33">(D599*8+(10-D599)*2)/10</f>
        <v>3.2</v>
      </c>
      <c r="F599" t="s">
        <v>18</v>
      </c>
      <c r="G599">
        <v>7336</v>
      </c>
      <c r="H599">
        <v>25.5</v>
      </c>
    </row>
    <row r="600" spans="1:8" x14ac:dyDescent="0.25">
      <c r="A600" t="s">
        <v>16</v>
      </c>
      <c r="B600" s="3" t="s">
        <v>22</v>
      </c>
      <c r="C600" t="s">
        <v>10</v>
      </c>
      <c r="D600">
        <v>2</v>
      </c>
      <c r="E600">
        <f t="shared" si="33"/>
        <v>3.2</v>
      </c>
      <c r="F600" t="s">
        <v>19</v>
      </c>
      <c r="G600">
        <v>7336</v>
      </c>
      <c r="H600">
        <v>38.4</v>
      </c>
    </row>
    <row r="601" spans="1:8" x14ac:dyDescent="0.25">
      <c r="A601" t="s">
        <v>17</v>
      </c>
      <c r="B601" s="3" t="s">
        <v>22</v>
      </c>
      <c r="C601" t="s">
        <v>10</v>
      </c>
      <c r="D601">
        <v>2</v>
      </c>
      <c r="E601">
        <f t="shared" si="33"/>
        <v>3.2</v>
      </c>
      <c r="F601" t="s">
        <v>32</v>
      </c>
      <c r="G601">
        <v>7336</v>
      </c>
      <c r="H601">
        <v>37.5</v>
      </c>
    </row>
    <row r="602" spans="1:8" x14ac:dyDescent="0.25">
      <c r="A602" t="s">
        <v>16</v>
      </c>
      <c r="B602" s="3" t="s">
        <v>24</v>
      </c>
      <c r="C602" t="s">
        <v>12</v>
      </c>
      <c r="D602">
        <v>4</v>
      </c>
      <c r="E602">
        <f t="shared" si="33"/>
        <v>4.4000000000000004</v>
      </c>
      <c r="F602" t="s">
        <v>18</v>
      </c>
      <c r="G602">
        <v>7336</v>
      </c>
      <c r="H602">
        <v>47</v>
      </c>
    </row>
    <row r="603" spans="1:8" x14ac:dyDescent="0.25">
      <c r="A603" t="s">
        <v>16</v>
      </c>
      <c r="B603" s="3" t="s">
        <v>24</v>
      </c>
      <c r="C603" t="s">
        <v>12</v>
      </c>
      <c r="D603">
        <v>4</v>
      </c>
      <c r="E603">
        <f t="shared" si="33"/>
        <v>4.4000000000000004</v>
      </c>
      <c r="F603" t="s">
        <v>19</v>
      </c>
      <c r="G603">
        <v>7336</v>
      </c>
      <c r="H603">
        <v>40.200000000000003</v>
      </c>
    </row>
    <row r="604" spans="1:8" x14ac:dyDescent="0.25">
      <c r="A604" t="s">
        <v>17</v>
      </c>
      <c r="B604" s="3" t="s">
        <v>24</v>
      </c>
      <c r="C604" t="s">
        <v>12</v>
      </c>
      <c r="D604">
        <v>4</v>
      </c>
      <c r="E604">
        <f t="shared" si="33"/>
        <v>4.4000000000000004</v>
      </c>
      <c r="F604" t="s">
        <v>32</v>
      </c>
      <c r="G604">
        <v>7336</v>
      </c>
      <c r="H604">
        <v>37.333333333333336</v>
      </c>
    </row>
    <row r="605" spans="1:8" x14ac:dyDescent="0.25">
      <c r="A605" t="s">
        <v>16</v>
      </c>
      <c r="B605" s="3" t="s">
        <v>26</v>
      </c>
      <c r="C605" t="s">
        <v>8</v>
      </c>
      <c r="D605">
        <v>5</v>
      </c>
      <c r="E605">
        <f t="shared" si="33"/>
        <v>5</v>
      </c>
      <c r="F605" t="s">
        <v>18</v>
      </c>
      <c r="G605">
        <v>7336</v>
      </c>
      <c r="H605">
        <v>50.666666666666664</v>
      </c>
    </row>
    <row r="606" spans="1:8" x14ac:dyDescent="0.25">
      <c r="A606" t="s">
        <v>16</v>
      </c>
      <c r="B606" s="3" t="s">
        <v>26</v>
      </c>
      <c r="C606" t="s">
        <v>8</v>
      </c>
      <c r="D606">
        <v>5</v>
      </c>
      <c r="E606">
        <f t="shared" si="33"/>
        <v>5</v>
      </c>
      <c r="F606" t="s">
        <v>19</v>
      </c>
      <c r="G606">
        <v>7336</v>
      </c>
      <c r="H606">
        <v>57</v>
      </c>
    </row>
    <row r="607" spans="1:8" x14ac:dyDescent="0.25">
      <c r="A607" t="s">
        <v>17</v>
      </c>
      <c r="B607" s="3" t="s">
        <v>26</v>
      </c>
      <c r="C607" t="s">
        <v>8</v>
      </c>
      <c r="D607">
        <v>5</v>
      </c>
      <c r="E607">
        <f t="shared" si="33"/>
        <v>5</v>
      </c>
      <c r="F607" t="s">
        <v>32</v>
      </c>
      <c r="G607">
        <v>7336</v>
      </c>
      <c r="H607">
        <v>42.5</v>
      </c>
    </row>
    <row r="608" spans="1:8" x14ac:dyDescent="0.25">
      <c r="A608" t="s">
        <v>16</v>
      </c>
      <c r="B608" s="3" t="s">
        <v>28</v>
      </c>
      <c r="C608" t="s">
        <v>6</v>
      </c>
      <c r="D608">
        <v>6</v>
      </c>
      <c r="E608">
        <f t="shared" si="33"/>
        <v>5.6</v>
      </c>
      <c r="F608" t="s">
        <v>18</v>
      </c>
      <c r="G608">
        <v>7336</v>
      </c>
      <c r="H608">
        <v>54.75</v>
      </c>
    </row>
    <row r="609" spans="1:8" x14ac:dyDescent="0.25">
      <c r="A609" t="s">
        <v>16</v>
      </c>
      <c r="B609" s="3" t="s">
        <v>28</v>
      </c>
      <c r="C609" t="s">
        <v>6</v>
      </c>
      <c r="D609">
        <v>6</v>
      </c>
      <c r="E609">
        <f t="shared" si="33"/>
        <v>5.6</v>
      </c>
      <c r="F609" t="s">
        <v>19</v>
      </c>
      <c r="G609">
        <v>7336</v>
      </c>
      <c r="H609">
        <v>68.5</v>
      </c>
    </row>
    <row r="610" spans="1:8" x14ac:dyDescent="0.25">
      <c r="A610" t="s">
        <v>17</v>
      </c>
      <c r="B610" s="3" t="s">
        <v>28</v>
      </c>
      <c r="C610" t="s">
        <v>6</v>
      </c>
      <c r="D610">
        <v>6</v>
      </c>
      <c r="E610">
        <f t="shared" si="33"/>
        <v>5.6</v>
      </c>
      <c r="F610" t="s">
        <v>32</v>
      </c>
      <c r="G610">
        <v>7336</v>
      </c>
      <c r="H610">
        <v>64.2</v>
      </c>
    </row>
    <row r="611" spans="1:8" x14ac:dyDescent="0.25">
      <c r="A611" t="s">
        <v>16</v>
      </c>
      <c r="B611" s="3" t="s">
        <v>30</v>
      </c>
      <c r="C611" t="s">
        <v>3</v>
      </c>
      <c r="D611">
        <v>8</v>
      </c>
      <c r="E611">
        <f t="shared" si="33"/>
        <v>6.8</v>
      </c>
      <c r="F611" t="s">
        <v>18</v>
      </c>
      <c r="G611">
        <v>7336</v>
      </c>
      <c r="H611">
        <v>68.666666666666671</v>
      </c>
    </row>
    <row r="612" spans="1:8" x14ac:dyDescent="0.25">
      <c r="A612" t="s">
        <v>16</v>
      </c>
      <c r="B612" s="3" t="s">
        <v>30</v>
      </c>
      <c r="C612" t="s">
        <v>3</v>
      </c>
      <c r="D612">
        <v>8</v>
      </c>
      <c r="E612">
        <f t="shared" si="33"/>
        <v>6.8</v>
      </c>
      <c r="F612" t="s">
        <v>19</v>
      </c>
      <c r="G612">
        <v>7336</v>
      </c>
      <c r="H612">
        <v>78</v>
      </c>
    </row>
    <row r="613" spans="1:8" x14ac:dyDescent="0.25">
      <c r="A613" t="s">
        <v>17</v>
      </c>
      <c r="B613" s="3" t="s">
        <v>30</v>
      </c>
      <c r="C613" t="s">
        <v>3</v>
      </c>
      <c r="D613">
        <v>8</v>
      </c>
      <c r="E613">
        <f t="shared" si="33"/>
        <v>6.8</v>
      </c>
      <c r="F613" t="s">
        <v>32</v>
      </c>
      <c r="G613">
        <v>7336</v>
      </c>
      <c r="H613">
        <v>73</v>
      </c>
    </row>
    <row r="614" spans="1:8" x14ac:dyDescent="0.25">
      <c r="A614" t="s">
        <v>16</v>
      </c>
      <c r="B614" s="2">
        <v>1</v>
      </c>
      <c r="C614" s="2">
        <v>1</v>
      </c>
      <c r="D614" s="1">
        <v>10</v>
      </c>
      <c r="E614">
        <v>2</v>
      </c>
      <c r="F614" t="s">
        <v>18</v>
      </c>
      <c r="G614">
        <v>7337</v>
      </c>
      <c r="H614">
        <v>26.333333333333332</v>
      </c>
    </row>
    <row r="615" spans="1:8" x14ac:dyDescent="0.25">
      <c r="A615" t="s">
        <v>16</v>
      </c>
      <c r="B615" s="2">
        <v>1</v>
      </c>
      <c r="C615" s="2">
        <v>1</v>
      </c>
      <c r="D615" s="1">
        <v>10</v>
      </c>
      <c r="E615">
        <v>8</v>
      </c>
      <c r="F615" t="s">
        <v>19</v>
      </c>
      <c r="G615">
        <v>7337</v>
      </c>
      <c r="H615">
        <v>88.166666666666671</v>
      </c>
    </row>
    <row r="616" spans="1:8" x14ac:dyDescent="0.25">
      <c r="A616" t="s">
        <v>16</v>
      </c>
      <c r="B616" s="2">
        <v>1</v>
      </c>
      <c r="C616" s="2">
        <v>1</v>
      </c>
      <c r="D616" s="1">
        <v>10</v>
      </c>
      <c r="E616">
        <v>5</v>
      </c>
      <c r="F616" t="s">
        <v>32</v>
      </c>
      <c r="G616">
        <v>7337</v>
      </c>
      <c r="H616">
        <v>37.333333333333336</v>
      </c>
    </row>
    <row r="617" spans="1:8" x14ac:dyDescent="0.25">
      <c r="A617" t="s">
        <v>16</v>
      </c>
      <c r="B617" s="3" t="s">
        <v>22</v>
      </c>
      <c r="C617" t="s">
        <v>10</v>
      </c>
      <c r="D617">
        <v>2</v>
      </c>
      <c r="E617">
        <f t="shared" ref="E617:E631" si="34">(D617*8+(10-D617)*2)/10</f>
        <v>3.2</v>
      </c>
      <c r="F617" t="s">
        <v>18</v>
      </c>
      <c r="G617">
        <v>7337</v>
      </c>
      <c r="H617">
        <v>30.6</v>
      </c>
    </row>
    <row r="618" spans="1:8" x14ac:dyDescent="0.25">
      <c r="A618" t="s">
        <v>16</v>
      </c>
      <c r="B618" s="3" t="s">
        <v>22</v>
      </c>
      <c r="C618" t="s">
        <v>10</v>
      </c>
      <c r="D618">
        <v>2</v>
      </c>
      <c r="E618">
        <f t="shared" si="34"/>
        <v>3.2</v>
      </c>
      <c r="F618" t="s">
        <v>19</v>
      </c>
      <c r="G618">
        <v>7337</v>
      </c>
      <c r="H618">
        <v>58.8</v>
      </c>
    </row>
    <row r="619" spans="1:8" x14ac:dyDescent="0.25">
      <c r="A619" t="s">
        <v>17</v>
      </c>
      <c r="B619" s="3" t="s">
        <v>22</v>
      </c>
      <c r="C619" t="s">
        <v>10</v>
      </c>
      <c r="D619">
        <v>2</v>
      </c>
      <c r="E619">
        <f t="shared" si="34"/>
        <v>3.2</v>
      </c>
      <c r="F619" t="s">
        <v>32</v>
      </c>
      <c r="G619">
        <v>7337</v>
      </c>
      <c r="H619">
        <v>29.333333333333332</v>
      </c>
    </row>
    <row r="620" spans="1:8" x14ac:dyDescent="0.25">
      <c r="A620" t="s">
        <v>16</v>
      </c>
      <c r="B620" s="3" t="s">
        <v>24</v>
      </c>
      <c r="C620" t="s">
        <v>12</v>
      </c>
      <c r="D620">
        <v>4</v>
      </c>
      <c r="E620">
        <f t="shared" si="34"/>
        <v>4.4000000000000004</v>
      </c>
      <c r="F620" t="s">
        <v>18</v>
      </c>
      <c r="G620">
        <v>7337</v>
      </c>
      <c r="H620">
        <v>43</v>
      </c>
    </row>
    <row r="621" spans="1:8" x14ac:dyDescent="0.25">
      <c r="A621" t="s">
        <v>16</v>
      </c>
      <c r="B621" s="3" t="s">
        <v>24</v>
      </c>
      <c r="C621" t="s">
        <v>12</v>
      </c>
      <c r="D621">
        <v>4</v>
      </c>
      <c r="E621">
        <f t="shared" si="34"/>
        <v>4.4000000000000004</v>
      </c>
      <c r="F621" t="s">
        <v>19</v>
      </c>
      <c r="G621">
        <v>7337</v>
      </c>
      <c r="H621">
        <v>47.8</v>
      </c>
    </row>
    <row r="622" spans="1:8" x14ac:dyDescent="0.25">
      <c r="A622" t="s">
        <v>17</v>
      </c>
      <c r="B622" s="3" t="s">
        <v>24</v>
      </c>
      <c r="C622" t="s">
        <v>12</v>
      </c>
      <c r="D622">
        <v>4</v>
      </c>
      <c r="E622">
        <f t="shared" si="34"/>
        <v>4.4000000000000004</v>
      </c>
      <c r="F622" t="s">
        <v>32</v>
      </c>
      <c r="G622">
        <v>7337</v>
      </c>
      <c r="H622">
        <v>35.833333333333336</v>
      </c>
    </row>
    <row r="623" spans="1:8" x14ac:dyDescent="0.25">
      <c r="A623" t="s">
        <v>16</v>
      </c>
      <c r="B623" s="3" t="s">
        <v>26</v>
      </c>
      <c r="C623" t="s">
        <v>8</v>
      </c>
      <c r="D623">
        <v>5</v>
      </c>
      <c r="E623">
        <f t="shared" si="34"/>
        <v>5</v>
      </c>
      <c r="F623" t="s">
        <v>18</v>
      </c>
      <c r="G623">
        <v>7337</v>
      </c>
      <c r="H623">
        <v>37.5</v>
      </c>
    </row>
    <row r="624" spans="1:8" x14ac:dyDescent="0.25">
      <c r="A624" t="s">
        <v>16</v>
      </c>
      <c r="B624" s="3" t="s">
        <v>26</v>
      </c>
      <c r="C624" t="s">
        <v>8</v>
      </c>
      <c r="D624">
        <v>5</v>
      </c>
      <c r="E624">
        <f t="shared" si="34"/>
        <v>5</v>
      </c>
      <c r="F624" t="s">
        <v>19</v>
      </c>
      <c r="G624">
        <v>7337</v>
      </c>
      <c r="H624">
        <v>60.2</v>
      </c>
    </row>
    <row r="625" spans="1:8" x14ac:dyDescent="0.25">
      <c r="A625" t="s">
        <v>17</v>
      </c>
      <c r="B625" s="3" t="s">
        <v>26</v>
      </c>
      <c r="C625" t="s">
        <v>8</v>
      </c>
      <c r="D625">
        <v>5</v>
      </c>
      <c r="E625">
        <f t="shared" si="34"/>
        <v>5</v>
      </c>
      <c r="F625" t="s">
        <v>32</v>
      </c>
      <c r="G625">
        <v>7337</v>
      </c>
      <c r="H625">
        <v>41</v>
      </c>
    </row>
    <row r="626" spans="1:8" x14ac:dyDescent="0.25">
      <c r="A626" t="s">
        <v>16</v>
      </c>
      <c r="B626" s="3" t="s">
        <v>28</v>
      </c>
      <c r="C626" t="s">
        <v>6</v>
      </c>
      <c r="D626">
        <v>6</v>
      </c>
      <c r="E626">
        <f t="shared" si="34"/>
        <v>5.6</v>
      </c>
      <c r="F626" t="s">
        <v>18</v>
      </c>
      <c r="G626">
        <v>7337</v>
      </c>
      <c r="H626">
        <v>50.333333333333336</v>
      </c>
    </row>
    <row r="627" spans="1:8" x14ac:dyDescent="0.25">
      <c r="A627" t="s">
        <v>16</v>
      </c>
      <c r="B627" s="3" t="s">
        <v>28</v>
      </c>
      <c r="C627" t="s">
        <v>6</v>
      </c>
      <c r="D627">
        <v>6</v>
      </c>
      <c r="E627">
        <f t="shared" si="34"/>
        <v>5.6</v>
      </c>
      <c r="F627" t="s">
        <v>19</v>
      </c>
      <c r="G627">
        <v>7337</v>
      </c>
      <c r="H627">
        <v>66.5</v>
      </c>
    </row>
    <row r="628" spans="1:8" x14ac:dyDescent="0.25">
      <c r="A628" t="s">
        <v>17</v>
      </c>
      <c r="B628" s="3" t="s">
        <v>28</v>
      </c>
      <c r="C628" t="s">
        <v>6</v>
      </c>
      <c r="D628">
        <v>6</v>
      </c>
      <c r="E628">
        <f t="shared" si="34"/>
        <v>5.6</v>
      </c>
      <c r="F628" t="s">
        <v>32</v>
      </c>
      <c r="G628">
        <v>7337</v>
      </c>
      <c r="H628">
        <v>46.333333333333336</v>
      </c>
    </row>
    <row r="629" spans="1:8" x14ac:dyDescent="0.25">
      <c r="A629" t="s">
        <v>16</v>
      </c>
      <c r="B629" s="3" t="s">
        <v>30</v>
      </c>
      <c r="C629" t="s">
        <v>3</v>
      </c>
      <c r="D629">
        <v>8</v>
      </c>
      <c r="E629">
        <f t="shared" si="34"/>
        <v>6.8</v>
      </c>
      <c r="F629" t="s">
        <v>18</v>
      </c>
      <c r="G629">
        <v>7337</v>
      </c>
      <c r="H629">
        <v>76</v>
      </c>
    </row>
    <row r="630" spans="1:8" x14ac:dyDescent="0.25">
      <c r="A630" t="s">
        <v>16</v>
      </c>
      <c r="B630" s="3" t="s">
        <v>30</v>
      </c>
      <c r="C630" t="s">
        <v>3</v>
      </c>
      <c r="D630">
        <v>8</v>
      </c>
      <c r="E630">
        <f t="shared" si="34"/>
        <v>6.8</v>
      </c>
      <c r="F630" t="s">
        <v>19</v>
      </c>
      <c r="G630">
        <v>7337</v>
      </c>
      <c r="H630">
        <v>80.400000000000006</v>
      </c>
    </row>
    <row r="631" spans="1:8" x14ac:dyDescent="0.25">
      <c r="A631" t="s">
        <v>17</v>
      </c>
      <c r="B631" s="3" t="s">
        <v>30</v>
      </c>
      <c r="C631" t="s">
        <v>3</v>
      </c>
      <c r="D631">
        <v>8</v>
      </c>
      <c r="E631">
        <f t="shared" si="34"/>
        <v>6.8</v>
      </c>
      <c r="F631" t="s">
        <v>32</v>
      </c>
      <c r="G631">
        <v>7337</v>
      </c>
      <c r="H631">
        <v>63</v>
      </c>
    </row>
    <row r="632" spans="1:8" x14ac:dyDescent="0.25">
      <c r="A632" t="s">
        <v>16</v>
      </c>
      <c r="B632" s="2">
        <v>1</v>
      </c>
      <c r="C632" s="2">
        <v>1</v>
      </c>
      <c r="D632" s="1">
        <v>10</v>
      </c>
      <c r="E632">
        <v>2</v>
      </c>
      <c r="F632" t="s">
        <v>18</v>
      </c>
      <c r="G632">
        <v>7338</v>
      </c>
      <c r="H632">
        <v>13.833333333333334</v>
      </c>
    </row>
    <row r="633" spans="1:8" x14ac:dyDescent="0.25">
      <c r="A633" t="s">
        <v>16</v>
      </c>
      <c r="B633" s="2">
        <v>1</v>
      </c>
      <c r="C633" s="2">
        <v>1</v>
      </c>
      <c r="D633" s="1">
        <v>10</v>
      </c>
      <c r="E633">
        <v>8</v>
      </c>
      <c r="F633" t="s">
        <v>19</v>
      </c>
      <c r="G633">
        <v>7338</v>
      </c>
      <c r="H633">
        <v>83.333333333333329</v>
      </c>
    </row>
    <row r="634" spans="1:8" x14ac:dyDescent="0.25">
      <c r="A634" t="s">
        <v>16</v>
      </c>
      <c r="B634" s="2">
        <v>1</v>
      </c>
      <c r="C634" s="2">
        <v>1</v>
      </c>
      <c r="D634" s="1">
        <v>10</v>
      </c>
      <c r="E634">
        <v>5</v>
      </c>
      <c r="F634" t="s">
        <v>32</v>
      </c>
      <c r="G634">
        <v>7338</v>
      </c>
      <c r="H634">
        <v>50</v>
      </c>
    </row>
    <row r="635" spans="1:8" x14ac:dyDescent="0.25">
      <c r="A635" t="s">
        <v>16</v>
      </c>
      <c r="B635" s="3" t="s">
        <v>22</v>
      </c>
      <c r="C635" t="s">
        <v>10</v>
      </c>
      <c r="D635">
        <v>2</v>
      </c>
      <c r="E635">
        <f t="shared" ref="E635:E649" si="35">(D635*8+(10-D635)*2)/10</f>
        <v>3.2</v>
      </c>
      <c r="F635" t="s">
        <v>18</v>
      </c>
      <c r="G635">
        <v>7338</v>
      </c>
      <c r="H635">
        <v>29.666666666666668</v>
      </c>
    </row>
    <row r="636" spans="1:8" x14ac:dyDescent="0.25">
      <c r="A636" t="s">
        <v>16</v>
      </c>
      <c r="B636" s="3" t="s">
        <v>22</v>
      </c>
      <c r="C636" t="s">
        <v>10</v>
      </c>
      <c r="D636">
        <v>2</v>
      </c>
      <c r="E636">
        <f t="shared" si="35"/>
        <v>3.2</v>
      </c>
      <c r="F636" t="s">
        <v>19</v>
      </c>
      <c r="G636">
        <v>7338</v>
      </c>
      <c r="H636">
        <v>35.166666666666664</v>
      </c>
    </row>
    <row r="637" spans="1:8" x14ac:dyDescent="0.25">
      <c r="A637" t="s">
        <v>17</v>
      </c>
      <c r="B637" s="3" t="s">
        <v>22</v>
      </c>
      <c r="C637" t="s">
        <v>10</v>
      </c>
      <c r="D637">
        <v>2</v>
      </c>
      <c r="E637">
        <f t="shared" si="35"/>
        <v>3.2</v>
      </c>
      <c r="F637" t="s">
        <v>32</v>
      </c>
      <c r="G637">
        <v>7338</v>
      </c>
      <c r="H637">
        <v>31</v>
      </c>
    </row>
    <row r="638" spans="1:8" x14ac:dyDescent="0.25">
      <c r="A638" t="s">
        <v>16</v>
      </c>
      <c r="B638" s="3" t="s">
        <v>24</v>
      </c>
      <c r="C638" t="s">
        <v>12</v>
      </c>
      <c r="D638">
        <v>4</v>
      </c>
      <c r="E638">
        <f t="shared" si="35"/>
        <v>4.4000000000000004</v>
      </c>
      <c r="F638" t="s">
        <v>18</v>
      </c>
      <c r="G638">
        <v>7338</v>
      </c>
      <c r="H638">
        <v>40.5</v>
      </c>
    </row>
    <row r="639" spans="1:8" x14ac:dyDescent="0.25">
      <c r="A639" t="s">
        <v>16</v>
      </c>
      <c r="B639" s="3" t="s">
        <v>24</v>
      </c>
      <c r="C639" t="s">
        <v>12</v>
      </c>
      <c r="D639">
        <v>4</v>
      </c>
      <c r="E639">
        <f t="shared" si="35"/>
        <v>4.4000000000000004</v>
      </c>
      <c r="F639" t="s">
        <v>19</v>
      </c>
      <c r="G639">
        <v>7338</v>
      </c>
      <c r="H639">
        <v>46.8</v>
      </c>
    </row>
    <row r="640" spans="1:8" x14ac:dyDescent="0.25">
      <c r="A640" t="s">
        <v>17</v>
      </c>
      <c r="B640" s="3" t="s">
        <v>24</v>
      </c>
      <c r="C640" t="s">
        <v>12</v>
      </c>
      <c r="D640">
        <v>4</v>
      </c>
      <c r="E640">
        <f t="shared" si="35"/>
        <v>4.4000000000000004</v>
      </c>
      <c r="F640" t="s">
        <v>32</v>
      </c>
      <c r="G640">
        <v>7338</v>
      </c>
      <c r="H640">
        <v>42.5</v>
      </c>
    </row>
    <row r="641" spans="1:8" x14ac:dyDescent="0.25">
      <c r="A641" t="s">
        <v>16</v>
      </c>
      <c r="B641" s="3" t="s">
        <v>26</v>
      </c>
      <c r="C641" t="s">
        <v>8</v>
      </c>
      <c r="D641">
        <v>5</v>
      </c>
      <c r="E641">
        <f t="shared" si="35"/>
        <v>5</v>
      </c>
      <c r="F641" t="s">
        <v>18</v>
      </c>
      <c r="G641">
        <v>7338</v>
      </c>
      <c r="H641">
        <v>45.666666666666664</v>
      </c>
    </row>
    <row r="642" spans="1:8" x14ac:dyDescent="0.25">
      <c r="A642" t="s">
        <v>16</v>
      </c>
      <c r="B642" s="3" t="s">
        <v>26</v>
      </c>
      <c r="C642" t="s">
        <v>8</v>
      </c>
      <c r="D642">
        <v>5</v>
      </c>
      <c r="E642">
        <f t="shared" si="35"/>
        <v>5</v>
      </c>
      <c r="F642" t="s">
        <v>19</v>
      </c>
      <c r="G642">
        <v>7338</v>
      </c>
      <c r="H642">
        <v>51.5</v>
      </c>
    </row>
    <row r="643" spans="1:8" x14ac:dyDescent="0.25">
      <c r="A643" t="s">
        <v>17</v>
      </c>
      <c r="B643" s="3" t="s">
        <v>26</v>
      </c>
      <c r="C643" t="s">
        <v>8</v>
      </c>
      <c r="D643">
        <v>5</v>
      </c>
      <c r="E643">
        <f t="shared" si="35"/>
        <v>5</v>
      </c>
      <c r="F643" t="s">
        <v>32</v>
      </c>
      <c r="G643">
        <v>7338</v>
      </c>
      <c r="H643">
        <v>50</v>
      </c>
    </row>
    <row r="644" spans="1:8" x14ac:dyDescent="0.25">
      <c r="A644" t="s">
        <v>16</v>
      </c>
      <c r="B644" s="3" t="s">
        <v>28</v>
      </c>
      <c r="C644" t="s">
        <v>6</v>
      </c>
      <c r="D644">
        <v>6</v>
      </c>
      <c r="E644">
        <f t="shared" si="35"/>
        <v>5.6</v>
      </c>
      <c r="F644" t="s">
        <v>18</v>
      </c>
      <c r="G644">
        <v>7338</v>
      </c>
      <c r="H644">
        <v>51.5</v>
      </c>
    </row>
    <row r="645" spans="1:8" x14ac:dyDescent="0.25">
      <c r="A645" t="s">
        <v>16</v>
      </c>
      <c r="B645" s="3" t="s">
        <v>28</v>
      </c>
      <c r="C645" t="s">
        <v>6</v>
      </c>
      <c r="D645">
        <v>6</v>
      </c>
      <c r="E645">
        <f t="shared" si="35"/>
        <v>5.6</v>
      </c>
      <c r="F645" t="s">
        <v>19</v>
      </c>
      <c r="G645">
        <v>7338</v>
      </c>
      <c r="H645">
        <v>58.5</v>
      </c>
    </row>
    <row r="646" spans="1:8" x14ac:dyDescent="0.25">
      <c r="A646" t="s">
        <v>17</v>
      </c>
      <c r="B646" s="3" t="s">
        <v>28</v>
      </c>
      <c r="C646" t="s">
        <v>6</v>
      </c>
      <c r="D646">
        <v>6</v>
      </c>
      <c r="E646">
        <f t="shared" si="35"/>
        <v>5.6</v>
      </c>
      <c r="F646" t="s">
        <v>32</v>
      </c>
      <c r="G646">
        <v>7338</v>
      </c>
      <c r="H646">
        <v>53.666666666666664</v>
      </c>
    </row>
    <row r="647" spans="1:8" x14ac:dyDescent="0.25">
      <c r="A647" t="s">
        <v>16</v>
      </c>
      <c r="B647" s="3" t="s">
        <v>30</v>
      </c>
      <c r="C647" t="s">
        <v>3</v>
      </c>
      <c r="D647">
        <v>8</v>
      </c>
      <c r="E647">
        <f t="shared" si="35"/>
        <v>6.8</v>
      </c>
      <c r="F647" t="s">
        <v>18</v>
      </c>
      <c r="G647">
        <v>7338</v>
      </c>
      <c r="H647">
        <v>60.666666666666664</v>
      </c>
    </row>
    <row r="648" spans="1:8" x14ac:dyDescent="0.25">
      <c r="A648" t="s">
        <v>16</v>
      </c>
      <c r="B648" s="3" t="s">
        <v>30</v>
      </c>
      <c r="C648" t="s">
        <v>3</v>
      </c>
      <c r="D648">
        <v>8</v>
      </c>
      <c r="E648">
        <f t="shared" si="35"/>
        <v>6.8</v>
      </c>
      <c r="F648" t="s">
        <v>19</v>
      </c>
      <c r="G648">
        <v>7338</v>
      </c>
      <c r="H648">
        <v>70.333333333333329</v>
      </c>
    </row>
    <row r="649" spans="1:8" x14ac:dyDescent="0.25">
      <c r="A649" t="s">
        <v>17</v>
      </c>
      <c r="B649" s="3" t="s">
        <v>30</v>
      </c>
      <c r="C649" t="s">
        <v>3</v>
      </c>
      <c r="D649">
        <v>8</v>
      </c>
      <c r="E649">
        <f t="shared" si="35"/>
        <v>6.8</v>
      </c>
      <c r="F649" t="s">
        <v>32</v>
      </c>
      <c r="G649">
        <v>7338</v>
      </c>
      <c r="H649">
        <v>67.8</v>
      </c>
    </row>
    <row r="650" spans="1:8" x14ac:dyDescent="0.25">
      <c r="A650" t="s">
        <v>16</v>
      </c>
      <c r="B650" s="2">
        <v>1</v>
      </c>
      <c r="C650" s="2">
        <v>1</v>
      </c>
      <c r="D650" s="1">
        <v>10</v>
      </c>
      <c r="E650">
        <v>2</v>
      </c>
      <c r="F650" t="s">
        <v>18</v>
      </c>
      <c r="G650">
        <v>7339</v>
      </c>
      <c r="H650">
        <v>54.166666666666664</v>
      </c>
    </row>
    <row r="651" spans="1:8" x14ac:dyDescent="0.25">
      <c r="A651" t="s">
        <v>16</v>
      </c>
      <c r="B651" s="2">
        <v>1</v>
      </c>
      <c r="C651" s="2">
        <v>1</v>
      </c>
      <c r="D651" s="1">
        <v>10</v>
      </c>
      <c r="E651">
        <v>8</v>
      </c>
      <c r="F651" t="s">
        <v>19</v>
      </c>
      <c r="G651">
        <v>7339</v>
      </c>
      <c r="H651">
        <v>90</v>
      </c>
    </row>
    <row r="652" spans="1:8" x14ac:dyDescent="0.25">
      <c r="A652" t="s">
        <v>16</v>
      </c>
      <c r="B652" s="2">
        <v>1</v>
      </c>
      <c r="C652" s="2">
        <v>1</v>
      </c>
      <c r="D652" s="1">
        <v>10</v>
      </c>
      <c r="E652">
        <v>5</v>
      </c>
      <c r="F652" t="s">
        <v>32</v>
      </c>
      <c r="G652">
        <v>7339</v>
      </c>
      <c r="H652">
        <v>65.833333333333329</v>
      </c>
    </row>
    <row r="653" spans="1:8" x14ac:dyDescent="0.25">
      <c r="A653" t="s">
        <v>16</v>
      </c>
      <c r="B653" s="3" t="s">
        <v>22</v>
      </c>
      <c r="C653" t="s">
        <v>10</v>
      </c>
      <c r="D653">
        <v>2</v>
      </c>
      <c r="E653">
        <f t="shared" ref="E653:E667" si="36">(D653*8+(10-D653)*2)/10</f>
        <v>3.2</v>
      </c>
      <c r="F653" t="s">
        <v>18</v>
      </c>
      <c r="G653">
        <v>7339</v>
      </c>
      <c r="H653">
        <v>47.5</v>
      </c>
    </row>
    <row r="654" spans="1:8" x14ac:dyDescent="0.25">
      <c r="A654" t="s">
        <v>16</v>
      </c>
      <c r="B654" s="3" t="s">
        <v>22</v>
      </c>
      <c r="C654" t="s">
        <v>10</v>
      </c>
      <c r="D654">
        <v>2</v>
      </c>
      <c r="E654">
        <f t="shared" si="36"/>
        <v>3.2</v>
      </c>
      <c r="F654" t="s">
        <v>19</v>
      </c>
      <c r="G654">
        <v>7339</v>
      </c>
      <c r="H654">
        <v>52.5</v>
      </c>
    </row>
    <row r="655" spans="1:8" x14ac:dyDescent="0.25">
      <c r="A655" t="s">
        <v>17</v>
      </c>
      <c r="B655" s="3" t="s">
        <v>22</v>
      </c>
      <c r="C655" t="s">
        <v>10</v>
      </c>
      <c r="D655">
        <v>2</v>
      </c>
      <c r="E655">
        <f t="shared" si="36"/>
        <v>3.2</v>
      </c>
      <c r="F655" t="s">
        <v>32</v>
      </c>
      <c r="G655">
        <v>7339</v>
      </c>
      <c r="H655">
        <v>45.833333333333336</v>
      </c>
    </row>
    <row r="656" spans="1:8" x14ac:dyDescent="0.25">
      <c r="A656" t="s">
        <v>16</v>
      </c>
      <c r="B656" s="3" t="s">
        <v>24</v>
      </c>
      <c r="C656" t="s">
        <v>12</v>
      </c>
      <c r="D656">
        <v>4</v>
      </c>
      <c r="E656">
        <f t="shared" si="36"/>
        <v>4.4000000000000004</v>
      </c>
      <c r="F656" t="s">
        <v>18</v>
      </c>
      <c r="G656">
        <v>7339</v>
      </c>
      <c r="H656">
        <v>50</v>
      </c>
    </row>
    <row r="657" spans="1:8" x14ac:dyDescent="0.25">
      <c r="A657" t="s">
        <v>16</v>
      </c>
      <c r="B657" s="3" t="s">
        <v>24</v>
      </c>
      <c r="C657" t="s">
        <v>12</v>
      </c>
      <c r="D657">
        <v>4</v>
      </c>
      <c r="E657">
        <f t="shared" si="36"/>
        <v>4.4000000000000004</v>
      </c>
      <c r="F657" t="s">
        <v>19</v>
      </c>
      <c r="G657">
        <v>7339</v>
      </c>
      <c r="H657">
        <v>60</v>
      </c>
    </row>
    <row r="658" spans="1:8" x14ac:dyDescent="0.25">
      <c r="A658" t="s">
        <v>17</v>
      </c>
      <c r="B658" s="3" t="s">
        <v>24</v>
      </c>
      <c r="C658" t="s">
        <v>12</v>
      </c>
      <c r="D658">
        <v>4</v>
      </c>
      <c r="E658">
        <f t="shared" si="36"/>
        <v>4.4000000000000004</v>
      </c>
      <c r="F658" t="s">
        <v>32</v>
      </c>
      <c r="G658">
        <v>7339</v>
      </c>
      <c r="H658">
        <v>49.166666666666664</v>
      </c>
    </row>
    <row r="659" spans="1:8" x14ac:dyDescent="0.25">
      <c r="A659" t="s">
        <v>16</v>
      </c>
      <c r="B659" s="3" t="s">
        <v>26</v>
      </c>
      <c r="C659" t="s">
        <v>8</v>
      </c>
      <c r="D659">
        <v>5</v>
      </c>
      <c r="E659">
        <f t="shared" si="36"/>
        <v>5</v>
      </c>
      <c r="F659" t="s">
        <v>18</v>
      </c>
      <c r="G659">
        <v>7339</v>
      </c>
      <c r="H659">
        <v>55</v>
      </c>
    </row>
    <row r="660" spans="1:8" x14ac:dyDescent="0.25">
      <c r="A660" t="s">
        <v>16</v>
      </c>
      <c r="B660" s="3" t="s">
        <v>26</v>
      </c>
      <c r="C660" t="s">
        <v>8</v>
      </c>
      <c r="D660">
        <v>5</v>
      </c>
      <c r="E660">
        <f t="shared" si="36"/>
        <v>5</v>
      </c>
      <c r="F660" t="s">
        <v>19</v>
      </c>
      <c r="G660">
        <v>7339</v>
      </c>
      <c r="H660">
        <v>65</v>
      </c>
    </row>
    <row r="661" spans="1:8" x14ac:dyDescent="0.25">
      <c r="A661" t="s">
        <v>17</v>
      </c>
      <c r="B661" s="3" t="s">
        <v>26</v>
      </c>
      <c r="C661" t="s">
        <v>8</v>
      </c>
      <c r="D661">
        <v>5</v>
      </c>
      <c r="E661">
        <f t="shared" si="36"/>
        <v>5</v>
      </c>
      <c r="F661" t="s">
        <v>32</v>
      </c>
      <c r="G661">
        <v>7339</v>
      </c>
      <c r="H661">
        <v>57.5</v>
      </c>
    </row>
    <row r="662" spans="1:8" x14ac:dyDescent="0.25">
      <c r="A662" t="s">
        <v>16</v>
      </c>
      <c r="B662" s="3" t="s">
        <v>28</v>
      </c>
      <c r="C662" t="s">
        <v>6</v>
      </c>
      <c r="D662">
        <v>6</v>
      </c>
      <c r="E662">
        <f t="shared" si="36"/>
        <v>5.6</v>
      </c>
      <c r="F662" t="s">
        <v>18</v>
      </c>
      <c r="G662">
        <v>7339</v>
      </c>
      <c r="H662">
        <v>64.166666666666671</v>
      </c>
    </row>
    <row r="663" spans="1:8" x14ac:dyDescent="0.25">
      <c r="A663" t="s">
        <v>16</v>
      </c>
      <c r="B663" s="3" t="s">
        <v>28</v>
      </c>
      <c r="C663" t="s">
        <v>6</v>
      </c>
      <c r="D663">
        <v>6</v>
      </c>
      <c r="E663">
        <f t="shared" si="36"/>
        <v>5.6</v>
      </c>
      <c r="F663" t="s">
        <v>19</v>
      </c>
      <c r="G663">
        <v>7339</v>
      </c>
      <c r="H663">
        <v>71.666666666666671</v>
      </c>
    </row>
    <row r="664" spans="1:8" x14ac:dyDescent="0.25">
      <c r="A664" t="s">
        <v>17</v>
      </c>
      <c r="B664" s="3" t="s">
        <v>28</v>
      </c>
      <c r="C664" t="s">
        <v>6</v>
      </c>
      <c r="D664">
        <v>6</v>
      </c>
      <c r="E664">
        <f t="shared" si="36"/>
        <v>5.6</v>
      </c>
      <c r="F664" t="s">
        <v>32</v>
      </c>
      <c r="G664">
        <v>7339</v>
      </c>
      <c r="H664">
        <v>68.333333333333329</v>
      </c>
    </row>
    <row r="665" spans="1:8" x14ac:dyDescent="0.25">
      <c r="A665" t="s">
        <v>16</v>
      </c>
      <c r="B665" s="3" t="s">
        <v>30</v>
      </c>
      <c r="C665" t="s">
        <v>3</v>
      </c>
      <c r="D665">
        <v>8</v>
      </c>
      <c r="E665">
        <f t="shared" si="36"/>
        <v>6.8</v>
      </c>
      <c r="F665" t="s">
        <v>18</v>
      </c>
      <c r="G665">
        <v>7339</v>
      </c>
      <c r="H665">
        <v>73.333333333333329</v>
      </c>
    </row>
    <row r="666" spans="1:8" x14ac:dyDescent="0.25">
      <c r="A666" t="s">
        <v>16</v>
      </c>
      <c r="B666" s="3" t="s">
        <v>30</v>
      </c>
      <c r="C666" t="s">
        <v>3</v>
      </c>
      <c r="D666">
        <v>8</v>
      </c>
      <c r="E666">
        <f t="shared" si="36"/>
        <v>6.8</v>
      </c>
      <c r="F666" t="s">
        <v>19</v>
      </c>
      <c r="G666">
        <v>7339</v>
      </c>
      <c r="H666">
        <v>83</v>
      </c>
    </row>
    <row r="667" spans="1:8" x14ac:dyDescent="0.25">
      <c r="A667" t="s">
        <v>17</v>
      </c>
      <c r="B667" s="3" t="s">
        <v>30</v>
      </c>
      <c r="C667" t="s">
        <v>3</v>
      </c>
      <c r="D667">
        <v>8</v>
      </c>
      <c r="E667">
        <f t="shared" si="36"/>
        <v>6.8</v>
      </c>
      <c r="F667" t="s">
        <v>32</v>
      </c>
      <c r="G667">
        <v>7339</v>
      </c>
      <c r="H667">
        <v>72.5</v>
      </c>
    </row>
    <row r="668" spans="1:8" x14ac:dyDescent="0.25">
      <c r="A668" t="s">
        <v>16</v>
      </c>
      <c r="B668" s="2">
        <v>1</v>
      </c>
      <c r="C668" s="2">
        <v>1</v>
      </c>
      <c r="D668" s="1">
        <v>10</v>
      </c>
      <c r="E668">
        <v>2</v>
      </c>
      <c r="F668" t="s">
        <v>18</v>
      </c>
      <c r="G668">
        <v>7340</v>
      </c>
      <c r="H668">
        <v>19.833333333333332</v>
      </c>
    </row>
    <row r="669" spans="1:8" x14ac:dyDescent="0.25">
      <c r="A669" t="s">
        <v>16</v>
      </c>
      <c r="B669" s="2">
        <v>1</v>
      </c>
      <c r="C669" s="2">
        <v>1</v>
      </c>
      <c r="D669" s="1">
        <v>10</v>
      </c>
      <c r="E669">
        <v>8</v>
      </c>
      <c r="F669" t="s">
        <v>19</v>
      </c>
      <c r="G669">
        <v>7340</v>
      </c>
      <c r="H669">
        <v>60</v>
      </c>
    </row>
    <row r="670" spans="1:8" x14ac:dyDescent="0.25">
      <c r="A670" t="s">
        <v>16</v>
      </c>
      <c r="B670" s="2">
        <v>1</v>
      </c>
      <c r="C670" s="2">
        <v>1</v>
      </c>
      <c r="D670" s="1">
        <v>10</v>
      </c>
      <c r="E670">
        <v>5</v>
      </c>
      <c r="F670" t="s">
        <v>32</v>
      </c>
      <c r="G670">
        <v>7340</v>
      </c>
      <c r="H670">
        <v>50</v>
      </c>
    </row>
    <row r="671" spans="1:8" x14ac:dyDescent="0.25">
      <c r="A671" t="s">
        <v>16</v>
      </c>
      <c r="B671" s="3" t="s">
        <v>22</v>
      </c>
      <c r="C671" t="s">
        <v>10</v>
      </c>
      <c r="D671">
        <v>2</v>
      </c>
      <c r="E671">
        <f t="shared" ref="E671:E685" si="37">(D671*8+(10-D671)*2)/10</f>
        <v>3.2</v>
      </c>
      <c r="F671" t="s">
        <v>18</v>
      </c>
      <c r="G671">
        <v>7340</v>
      </c>
      <c r="H671">
        <v>25.5</v>
      </c>
    </row>
    <row r="672" spans="1:8" x14ac:dyDescent="0.25">
      <c r="A672" t="s">
        <v>16</v>
      </c>
      <c r="B672" s="3" t="s">
        <v>22</v>
      </c>
      <c r="C672" t="s">
        <v>10</v>
      </c>
      <c r="D672">
        <v>2</v>
      </c>
      <c r="E672">
        <f t="shared" si="37"/>
        <v>3.2</v>
      </c>
      <c r="F672" t="s">
        <v>19</v>
      </c>
      <c r="G672">
        <v>7340</v>
      </c>
      <c r="H672">
        <v>30.666666666666668</v>
      </c>
    </row>
    <row r="673" spans="1:8" x14ac:dyDescent="0.25">
      <c r="A673" t="s">
        <v>17</v>
      </c>
      <c r="B673" s="3" t="s">
        <v>22</v>
      </c>
      <c r="C673" t="s">
        <v>10</v>
      </c>
      <c r="D673">
        <v>2</v>
      </c>
      <c r="E673">
        <f t="shared" si="37"/>
        <v>3.2</v>
      </c>
      <c r="F673" t="s">
        <v>32</v>
      </c>
      <c r="G673">
        <v>7340</v>
      </c>
      <c r="H673">
        <v>26.666666666666668</v>
      </c>
    </row>
    <row r="674" spans="1:8" x14ac:dyDescent="0.25">
      <c r="A674" t="s">
        <v>16</v>
      </c>
      <c r="B674" s="3" t="s">
        <v>24</v>
      </c>
      <c r="C674" t="s">
        <v>12</v>
      </c>
      <c r="D674">
        <v>4</v>
      </c>
      <c r="E674">
        <f t="shared" si="37"/>
        <v>4.4000000000000004</v>
      </c>
      <c r="F674" t="s">
        <v>18</v>
      </c>
      <c r="G674">
        <v>7340</v>
      </c>
      <c r="H674">
        <v>30.5</v>
      </c>
    </row>
    <row r="675" spans="1:8" x14ac:dyDescent="0.25">
      <c r="A675" t="s">
        <v>16</v>
      </c>
      <c r="B675" s="3" t="s">
        <v>24</v>
      </c>
      <c r="C675" t="s">
        <v>12</v>
      </c>
      <c r="D675">
        <v>4</v>
      </c>
      <c r="E675">
        <f t="shared" si="37"/>
        <v>4.4000000000000004</v>
      </c>
      <c r="F675" t="s">
        <v>19</v>
      </c>
      <c r="G675">
        <v>7340</v>
      </c>
      <c r="H675">
        <v>40</v>
      </c>
    </row>
    <row r="676" spans="1:8" x14ac:dyDescent="0.25">
      <c r="A676" t="s">
        <v>17</v>
      </c>
      <c r="B676" s="3" t="s">
        <v>24</v>
      </c>
      <c r="C676" t="s">
        <v>12</v>
      </c>
      <c r="D676">
        <v>4</v>
      </c>
      <c r="E676">
        <f t="shared" si="37"/>
        <v>4.4000000000000004</v>
      </c>
      <c r="F676" t="s">
        <v>32</v>
      </c>
      <c r="G676">
        <v>7340</v>
      </c>
      <c r="H676">
        <v>32.6</v>
      </c>
    </row>
    <row r="677" spans="1:8" x14ac:dyDescent="0.25">
      <c r="A677" t="s">
        <v>16</v>
      </c>
      <c r="B677" s="3" t="s">
        <v>26</v>
      </c>
      <c r="C677" t="s">
        <v>8</v>
      </c>
      <c r="D677">
        <v>5</v>
      </c>
      <c r="E677">
        <f t="shared" si="37"/>
        <v>5</v>
      </c>
      <c r="F677" t="s">
        <v>18</v>
      </c>
      <c r="G677">
        <v>7340</v>
      </c>
      <c r="H677">
        <v>32.166666666666664</v>
      </c>
    </row>
    <row r="678" spans="1:8" x14ac:dyDescent="0.25">
      <c r="A678" t="s">
        <v>16</v>
      </c>
      <c r="B678" s="3" t="s">
        <v>26</v>
      </c>
      <c r="C678" t="s">
        <v>8</v>
      </c>
      <c r="D678">
        <v>5</v>
      </c>
      <c r="E678">
        <f t="shared" si="37"/>
        <v>5</v>
      </c>
      <c r="F678" t="s">
        <v>19</v>
      </c>
      <c r="G678">
        <v>7340</v>
      </c>
      <c r="H678">
        <v>49.166666666666664</v>
      </c>
    </row>
    <row r="679" spans="1:8" x14ac:dyDescent="0.25">
      <c r="A679" t="s">
        <v>17</v>
      </c>
      <c r="B679" s="3" t="s">
        <v>26</v>
      </c>
      <c r="C679" t="s">
        <v>8</v>
      </c>
      <c r="D679">
        <v>5</v>
      </c>
      <c r="E679">
        <f t="shared" si="37"/>
        <v>5</v>
      </c>
      <c r="F679" t="s">
        <v>32</v>
      </c>
      <c r="G679">
        <v>7340</v>
      </c>
      <c r="H679">
        <v>34.4</v>
      </c>
    </row>
    <row r="680" spans="1:8" x14ac:dyDescent="0.25">
      <c r="A680" t="s">
        <v>16</v>
      </c>
      <c r="B680" s="3" t="s">
        <v>28</v>
      </c>
      <c r="C680" t="s">
        <v>6</v>
      </c>
      <c r="D680">
        <v>6</v>
      </c>
      <c r="E680">
        <f t="shared" si="37"/>
        <v>5.6</v>
      </c>
      <c r="F680" t="s">
        <v>18</v>
      </c>
      <c r="G680">
        <v>7340</v>
      </c>
      <c r="H680">
        <v>30.2</v>
      </c>
    </row>
    <row r="681" spans="1:8" x14ac:dyDescent="0.25">
      <c r="A681" t="s">
        <v>16</v>
      </c>
      <c r="B681" s="3" t="s">
        <v>28</v>
      </c>
      <c r="C681" t="s">
        <v>6</v>
      </c>
      <c r="D681">
        <v>6</v>
      </c>
      <c r="E681">
        <f t="shared" si="37"/>
        <v>5.6</v>
      </c>
      <c r="F681" t="s">
        <v>19</v>
      </c>
      <c r="G681">
        <v>7340</v>
      </c>
      <c r="H681">
        <v>40.833333333333336</v>
      </c>
    </row>
    <row r="682" spans="1:8" x14ac:dyDescent="0.25">
      <c r="A682" t="s">
        <v>17</v>
      </c>
      <c r="B682" s="3" t="s">
        <v>28</v>
      </c>
      <c r="C682" t="s">
        <v>6</v>
      </c>
      <c r="D682">
        <v>6</v>
      </c>
      <c r="E682">
        <f t="shared" si="37"/>
        <v>5.6</v>
      </c>
      <c r="F682" t="s">
        <v>32</v>
      </c>
      <c r="G682">
        <v>7340</v>
      </c>
      <c r="H682">
        <v>35</v>
      </c>
    </row>
    <row r="683" spans="1:8" x14ac:dyDescent="0.25">
      <c r="A683" t="s">
        <v>16</v>
      </c>
      <c r="B683" s="3" t="s">
        <v>30</v>
      </c>
      <c r="C683" t="s">
        <v>3</v>
      </c>
      <c r="D683">
        <v>8</v>
      </c>
      <c r="E683">
        <f t="shared" si="37"/>
        <v>6.8</v>
      </c>
      <c r="F683" t="s">
        <v>18</v>
      </c>
      <c r="G683">
        <v>7340</v>
      </c>
      <c r="H683">
        <v>42</v>
      </c>
    </row>
    <row r="684" spans="1:8" x14ac:dyDescent="0.25">
      <c r="A684" t="s">
        <v>16</v>
      </c>
      <c r="B684" s="3" t="s">
        <v>30</v>
      </c>
      <c r="C684" t="s">
        <v>3</v>
      </c>
      <c r="D684">
        <v>8</v>
      </c>
      <c r="E684">
        <f t="shared" si="37"/>
        <v>6.8</v>
      </c>
      <c r="F684" t="s">
        <v>19</v>
      </c>
      <c r="G684">
        <v>7340</v>
      </c>
      <c r="H684">
        <v>49</v>
      </c>
    </row>
    <row r="685" spans="1:8" x14ac:dyDescent="0.25">
      <c r="A685" t="s">
        <v>17</v>
      </c>
      <c r="B685" s="3" t="s">
        <v>30</v>
      </c>
      <c r="C685" t="s">
        <v>3</v>
      </c>
      <c r="D685">
        <v>8</v>
      </c>
      <c r="E685">
        <f t="shared" si="37"/>
        <v>6.8</v>
      </c>
      <c r="F685" t="s">
        <v>32</v>
      </c>
      <c r="G685">
        <v>7340</v>
      </c>
      <c r="H685">
        <v>43</v>
      </c>
    </row>
    <row r="686" spans="1:8" x14ac:dyDescent="0.25">
      <c r="A686" t="s">
        <v>16</v>
      </c>
      <c r="B686" s="2">
        <v>1</v>
      </c>
      <c r="C686" s="2">
        <v>1</v>
      </c>
      <c r="D686" s="1">
        <v>10</v>
      </c>
      <c r="E686">
        <v>2</v>
      </c>
      <c r="F686" t="s">
        <v>18</v>
      </c>
      <c r="G686">
        <v>7341</v>
      </c>
      <c r="H686">
        <v>55.666666666666664</v>
      </c>
    </row>
    <row r="687" spans="1:8" x14ac:dyDescent="0.25">
      <c r="A687" t="s">
        <v>16</v>
      </c>
      <c r="B687" s="2">
        <v>1</v>
      </c>
      <c r="C687" s="2">
        <v>1</v>
      </c>
      <c r="D687" s="1">
        <v>10</v>
      </c>
      <c r="E687">
        <v>8</v>
      </c>
      <c r="F687" t="s">
        <v>19</v>
      </c>
      <c r="G687">
        <v>7341</v>
      </c>
      <c r="H687">
        <v>93.4</v>
      </c>
    </row>
    <row r="688" spans="1:8" x14ac:dyDescent="0.25">
      <c r="A688" t="s">
        <v>16</v>
      </c>
      <c r="B688" s="2">
        <v>1</v>
      </c>
      <c r="C688" s="2">
        <v>1</v>
      </c>
      <c r="D688" s="1">
        <v>10</v>
      </c>
      <c r="E688">
        <v>5</v>
      </c>
      <c r="F688" t="s">
        <v>32</v>
      </c>
      <c r="G688">
        <v>7341</v>
      </c>
      <c r="H688">
        <v>63.166666666666664</v>
      </c>
    </row>
    <row r="689" spans="1:8" x14ac:dyDescent="0.25">
      <c r="A689" t="s">
        <v>16</v>
      </c>
      <c r="B689" s="3" t="s">
        <v>22</v>
      </c>
      <c r="C689" t="s">
        <v>10</v>
      </c>
      <c r="D689">
        <v>2</v>
      </c>
      <c r="E689">
        <f t="shared" ref="E689:E703" si="38">(D689*8+(10-D689)*2)/10</f>
        <v>3.2</v>
      </c>
      <c r="F689" t="s">
        <v>18</v>
      </c>
      <c r="G689">
        <v>7341</v>
      </c>
      <c r="H689">
        <v>56.833333333333336</v>
      </c>
    </row>
    <row r="690" spans="1:8" x14ac:dyDescent="0.25">
      <c r="A690" t="s">
        <v>16</v>
      </c>
      <c r="B690" s="3" t="s">
        <v>22</v>
      </c>
      <c r="C690" t="s">
        <v>10</v>
      </c>
      <c r="D690">
        <v>2</v>
      </c>
      <c r="E690">
        <f t="shared" si="38"/>
        <v>3.2</v>
      </c>
      <c r="F690" t="s">
        <v>19</v>
      </c>
      <c r="G690">
        <v>7341</v>
      </c>
      <c r="H690">
        <v>77.666666666666671</v>
      </c>
    </row>
    <row r="691" spans="1:8" x14ac:dyDescent="0.25">
      <c r="A691" t="s">
        <v>17</v>
      </c>
      <c r="B691" s="3" t="s">
        <v>22</v>
      </c>
      <c r="C691" t="s">
        <v>10</v>
      </c>
      <c r="D691">
        <v>2</v>
      </c>
      <c r="E691">
        <f t="shared" si="38"/>
        <v>3.2</v>
      </c>
      <c r="F691" t="s">
        <v>32</v>
      </c>
      <c r="G691">
        <v>7341</v>
      </c>
      <c r="H691">
        <v>57.666666666666664</v>
      </c>
    </row>
    <row r="692" spans="1:8" x14ac:dyDescent="0.25">
      <c r="A692" t="s">
        <v>16</v>
      </c>
      <c r="B692" s="3" t="s">
        <v>24</v>
      </c>
      <c r="C692" t="s">
        <v>12</v>
      </c>
      <c r="D692">
        <v>4</v>
      </c>
      <c r="E692">
        <f t="shared" si="38"/>
        <v>4.4000000000000004</v>
      </c>
      <c r="F692" t="s">
        <v>18</v>
      </c>
      <c r="G692">
        <v>7341</v>
      </c>
      <c r="H692">
        <v>60</v>
      </c>
    </row>
    <row r="693" spans="1:8" x14ac:dyDescent="0.25">
      <c r="A693" t="s">
        <v>16</v>
      </c>
      <c r="B693" s="3" t="s">
        <v>24</v>
      </c>
      <c r="C693" t="s">
        <v>12</v>
      </c>
      <c r="D693">
        <v>4</v>
      </c>
      <c r="E693">
        <f t="shared" si="38"/>
        <v>4.4000000000000004</v>
      </c>
      <c r="F693" t="s">
        <v>19</v>
      </c>
      <c r="G693">
        <v>7341</v>
      </c>
      <c r="H693">
        <v>78.833333333333329</v>
      </c>
    </row>
    <row r="694" spans="1:8" x14ac:dyDescent="0.25">
      <c r="A694" t="s">
        <v>17</v>
      </c>
      <c r="B694" s="3" t="s">
        <v>24</v>
      </c>
      <c r="C694" t="s">
        <v>12</v>
      </c>
      <c r="D694">
        <v>4</v>
      </c>
      <c r="E694">
        <f t="shared" si="38"/>
        <v>4.4000000000000004</v>
      </c>
      <c r="F694" t="s">
        <v>32</v>
      </c>
      <c r="G694">
        <v>7341</v>
      </c>
      <c r="H694">
        <v>61.5</v>
      </c>
    </row>
    <row r="695" spans="1:8" x14ac:dyDescent="0.25">
      <c r="A695" t="s">
        <v>16</v>
      </c>
      <c r="B695" s="3" t="s">
        <v>26</v>
      </c>
      <c r="C695" t="s">
        <v>8</v>
      </c>
      <c r="D695">
        <v>5</v>
      </c>
      <c r="E695">
        <f t="shared" si="38"/>
        <v>5</v>
      </c>
      <c r="F695" t="s">
        <v>18</v>
      </c>
      <c r="G695">
        <v>7341</v>
      </c>
      <c r="H695">
        <v>60.5</v>
      </c>
    </row>
    <row r="696" spans="1:8" x14ac:dyDescent="0.25">
      <c r="A696" t="s">
        <v>16</v>
      </c>
      <c r="B696" s="3" t="s">
        <v>26</v>
      </c>
      <c r="C696" t="s">
        <v>8</v>
      </c>
      <c r="D696">
        <v>5</v>
      </c>
      <c r="E696">
        <f t="shared" si="38"/>
        <v>5</v>
      </c>
      <c r="F696" t="s">
        <v>19</v>
      </c>
      <c r="G696">
        <v>7341</v>
      </c>
      <c r="H696">
        <v>76.333333333333329</v>
      </c>
    </row>
    <row r="697" spans="1:8" x14ac:dyDescent="0.25">
      <c r="A697" t="s">
        <v>17</v>
      </c>
      <c r="B697" s="3" t="s">
        <v>26</v>
      </c>
      <c r="C697" t="s">
        <v>8</v>
      </c>
      <c r="D697">
        <v>5</v>
      </c>
      <c r="E697">
        <f t="shared" si="38"/>
        <v>5</v>
      </c>
      <c r="F697" t="s">
        <v>32</v>
      </c>
      <c r="G697">
        <v>7341</v>
      </c>
      <c r="H697">
        <v>59</v>
      </c>
    </row>
    <row r="698" spans="1:8" x14ac:dyDescent="0.25">
      <c r="A698" t="s">
        <v>16</v>
      </c>
      <c r="B698" s="3" t="s">
        <v>28</v>
      </c>
      <c r="C698" t="s">
        <v>6</v>
      </c>
      <c r="D698">
        <v>6</v>
      </c>
      <c r="E698">
        <f t="shared" si="38"/>
        <v>5.6</v>
      </c>
      <c r="F698" t="s">
        <v>18</v>
      </c>
      <c r="G698">
        <v>7341</v>
      </c>
      <c r="H698">
        <v>65.166666666666671</v>
      </c>
    </row>
    <row r="699" spans="1:8" x14ac:dyDescent="0.25">
      <c r="A699" t="s">
        <v>16</v>
      </c>
      <c r="B699" s="3" t="s">
        <v>28</v>
      </c>
      <c r="C699" t="s">
        <v>6</v>
      </c>
      <c r="D699">
        <v>6</v>
      </c>
      <c r="E699">
        <f t="shared" si="38"/>
        <v>5.6</v>
      </c>
      <c r="F699" t="s">
        <v>19</v>
      </c>
      <c r="G699">
        <v>7341</v>
      </c>
      <c r="H699">
        <v>78.333333333333329</v>
      </c>
    </row>
    <row r="700" spans="1:8" x14ac:dyDescent="0.25">
      <c r="A700" t="s">
        <v>17</v>
      </c>
      <c r="B700" s="3" t="s">
        <v>28</v>
      </c>
      <c r="C700" t="s">
        <v>6</v>
      </c>
      <c r="D700">
        <v>6</v>
      </c>
      <c r="E700">
        <f t="shared" si="38"/>
        <v>5.6</v>
      </c>
      <c r="F700" t="s">
        <v>32</v>
      </c>
      <c r="G700">
        <v>7341</v>
      </c>
      <c r="H700">
        <v>64.666666666666671</v>
      </c>
    </row>
    <row r="701" spans="1:8" x14ac:dyDescent="0.25">
      <c r="A701" t="s">
        <v>16</v>
      </c>
      <c r="B701" s="3" t="s">
        <v>30</v>
      </c>
      <c r="C701" t="s">
        <v>3</v>
      </c>
      <c r="D701">
        <v>8</v>
      </c>
      <c r="E701">
        <f t="shared" si="38"/>
        <v>6.8</v>
      </c>
      <c r="F701" t="s">
        <v>18</v>
      </c>
      <c r="G701">
        <v>7341</v>
      </c>
      <c r="H701">
        <v>74.666666666666671</v>
      </c>
    </row>
    <row r="702" spans="1:8" x14ac:dyDescent="0.25">
      <c r="A702" t="s">
        <v>16</v>
      </c>
      <c r="B702" s="3" t="s">
        <v>30</v>
      </c>
      <c r="C702" t="s">
        <v>3</v>
      </c>
      <c r="D702">
        <v>8</v>
      </c>
      <c r="E702">
        <f t="shared" si="38"/>
        <v>6.8</v>
      </c>
      <c r="F702" t="s">
        <v>19</v>
      </c>
      <c r="G702">
        <v>7341</v>
      </c>
      <c r="H702">
        <v>90.333333333333329</v>
      </c>
    </row>
    <row r="703" spans="1:8" x14ac:dyDescent="0.25">
      <c r="A703" t="s">
        <v>17</v>
      </c>
      <c r="B703" s="3" t="s">
        <v>30</v>
      </c>
      <c r="C703" t="s">
        <v>3</v>
      </c>
      <c r="D703">
        <v>8</v>
      </c>
      <c r="E703">
        <f t="shared" si="38"/>
        <v>6.8</v>
      </c>
      <c r="F703" t="s">
        <v>32</v>
      </c>
      <c r="G703">
        <v>7341</v>
      </c>
      <c r="H703">
        <v>70.8</v>
      </c>
    </row>
    <row r="704" spans="1:8" x14ac:dyDescent="0.25">
      <c r="A704" t="s">
        <v>16</v>
      </c>
      <c r="B704" s="2">
        <v>1</v>
      </c>
      <c r="C704" s="2">
        <v>1</v>
      </c>
      <c r="D704" s="1">
        <v>10</v>
      </c>
      <c r="E704">
        <v>2</v>
      </c>
      <c r="F704" t="s">
        <v>18</v>
      </c>
      <c r="G704">
        <v>7342</v>
      </c>
      <c r="H704">
        <v>11.666666666666666</v>
      </c>
    </row>
    <row r="705" spans="1:8" x14ac:dyDescent="0.25">
      <c r="A705" t="s">
        <v>16</v>
      </c>
      <c r="B705" s="2">
        <v>1</v>
      </c>
      <c r="C705" s="2">
        <v>1</v>
      </c>
      <c r="D705" s="1">
        <v>10</v>
      </c>
      <c r="E705">
        <v>8</v>
      </c>
      <c r="F705" t="s">
        <v>19</v>
      </c>
      <c r="G705">
        <v>7342</v>
      </c>
      <c r="H705">
        <v>89</v>
      </c>
    </row>
    <row r="706" spans="1:8" x14ac:dyDescent="0.25">
      <c r="A706" t="s">
        <v>16</v>
      </c>
      <c r="B706" s="2">
        <v>1</v>
      </c>
      <c r="C706" s="2">
        <v>1</v>
      </c>
      <c r="D706" s="1">
        <v>10</v>
      </c>
      <c r="E706">
        <v>5</v>
      </c>
      <c r="F706" t="s">
        <v>32</v>
      </c>
      <c r="G706">
        <v>7342</v>
      </c>
      <c r="H706">
        <v>48.666666666666664</v>
      </c>
    </row>
    <row r="707" spans="1:8" x14ac:dyDescent="0.25">
      <c r="A707" t="s">
        <v>16</v>
      </c>
      <c r="B707" s="3" t="s">
        <v>22</v>
      </c>
      <c r="C707" t="s">
        <v>10</v>
      </c>
      <c r="D707">
        <v>2</v>
      </c>
      <c r="E707">
        <f t="shared" ref="E707:E721" si="39">(D707*8+(10-D707)*2)/10</f>
        <v>3.2</v>
      </c>
      <c r="F707" t="s">
        <v>18</v>
      </c>
      <c r="G707">
        <v>7342</v>
      </c>
      <c r="H707">
        <v>21.166666666666668</v>
      </c>
    </row>
    <row r="708" spans="1:8" x14ac:dyDescent="0.25">
      <c r="A708" t="s">
        <v>16</v>
      </c>
      <c r="B708" s="3" t="s">
        <v>22</v>
      </c>
      <c r="C708" t="s">
        <v>10</v>
      </c>
      <c r="D708">
        <v>2</v>
      </c>
      <c r="E708">
        <f t="shared" si="39"/>
        <v>3.2</v>
      </c>
      <c r="F708" t="s">
        <v>19</v>
      </c>
      <c r="G708">
        <v>7342</v>
      </c>
      <c r="H708">
        <v>52.166666666666664</v>
      </c>
    </row>
    <row r="709" spans="1:8" x14ac:dyDescent="0.25">
      <c r="A709" t="s">
        <v>17</v>
      </c>
      <c r="B709" s="3" t="s">
        <v>22</v>
      </c>
      <c r="C709" t="s">
        <v>10</v>
      </c>
      <c r="D709">
        <v>2</v>
      </c>
      <c r="E709">
        <f t="shared" si="39"/>
        <v>3.2</v>
      </c>
      <c r="F709" t="s">
        <v>32</v>
      </c>
      <c r="G709">
        <v>7342</v>
      </c>
      <c r="H709">
        <v>21.333333333333332</v>
      </c>
    </row>
    <row r="710" spans="1:8" x14ac:dyDescent="0.25">
      <c r="A710" t="s">
        <v>16</v>
      </c>
      <c r="B710" s="3" t="s">
        <v>24</v>
      </c>
      <c r="C710" t="s">
        <v>12</v>
      </c>
      <c r="D710">
        <v>4</v>
      </c>
      <c r="E710">
        <f t="shared" si="39"/>
        <v>4.4000000000000004</v>
      </c>
      <c r="F710" t="s">
        <v>18</v>
      </c>
      <c r="G710">
        <v>7342</v>
      </c>
      <c r="H710">
        <v>33.833333333333336</v>
      </c>
    </row>
    <row r="711" spans="1:8" x14ac:dyDescent="0.25">
      <c r="A711" t="s">
        <v>16</v>
      </c>
      <c r="B711" s="3" t="s">
        <v>24</v>
      </c>
      <c r="C711" t="s">
        <v>12</v>
      </c>
      <c r="D711">
        <v>4</v>
      </c>
      <c r="E711">
        <f t="shared" si="39"/>
        <v>4.4000000000000004</v>
      </c>
      <c r="F711" t="s">
        <v>19</v>
      </c>
      <c r="G711">
        <v>7342</v>
      </c>
      <c r="H711">
        <v>59.4</v>
      </c>
    </row>
    <row r="712" spans="1:8" x14ac:dyDescent="0.25">
      <c r="A712" t="s">
        <v>17</v>
      </c>
      <c r="B712" s="3" t="s">
        <v>24</v>
      </c>
      <c r="C712" t="s">
        <v>12</v>
      </c>
      <c r="D712">
        <v>4</v>
      </c>
      <c r="E712">
        <f t="shared" si="39"/>
        <v>4.4000000000000004</v>
      </c>
      <c r="F712" t="s">
        <v>32</v>
      </c>
      <c r="G712">
        <v>7342</v>
      </c>
      <c r="H712">
        <v>42.833333333333336</v>
      </c>
    </row>
    <row r="713" spans="1:8" x14ac:dyDescent="0.25">
      <c r="A713" t="s">
        <v>16</v>
      </c>
      <c r="B713" s="3" t="s">
        <v>26</v>
      </c>
      <c r="C713" t="s">
        <v>8</v>
      </c>
      <c r="D713">
        <v>5</v>
      </c>
      <c r="E713">
        <f t="shared" si="39"/>
        <v>5</v>
      </c>
      <c r="F713" t="s">
        <v>18</v>
      </c>
      <c r="G713">
        <v>7342</v>
      </c>
      <c r="H713">
        <v>38.833333333333336</v>
      </c>
    </row>
    <row r="714" spans="1:8" x14ac:dyDescent="0.25">
      <c r="A714" t="s">
        <v>16</v>
      </c>
      <c r="B714" s="3" t="s">
        <v>26</v>
      </c>
      <c r="C714" t="s">
        <v>8</v>
      </c>
      <c r="D714">
        <v>5</v>
      </c>
      <c r="E714">
        <f t="shared" si="39"/>
        <v>5</v>
      </c>
      <c r="F714" t="s">
        <v>19</v>
      </c>
      <c r="G714">
        <v>7342</v>
      </c>
      <c r="H714">
        <v>59</v>
      </c>
    </row>
    <row r="715" spans="1:8" x14ac:dyDescent="0.25">
      <c r="A715" t="s">
        <v>17</v>
      </c>
      <c r="B715" s="3" t="s">
        <v>26</v>
      </c>
      <c r="C715" t="s">
        <v>8</v>
      </c>
      <c r="D715">
        <v>5</v>
      </c>
      <c r="E715">
        <f t="shared" si="39"/>
        <v>5</v>
      </c>
      <c r="F715" t="s">
        <v>32</v>
      </c>
      <c r="G715">
        <v>7342</v>
      </c>
      <c r="H715">
        <v>42</v>
      </c>
    </row>
    <row r="716" spans="1:8" x14ac:dyDescent="0.25">
      <c r="A716" t="s">
        <v>16</v>
      </c>
      <c r="B716" s="3" t="s">
        <v>28</v>
      </c>
      <c r="C716" t="s">
        <v>6</v>
      </c>
      <c r="D716">
        <v>6</v>
      </c>
      <c r="E716">
        <f t="shared" si="39"/>
        <v>5.6</v>
      </c>
      <c r="F716" t="s">
        <v>18</v>
      </c>
      <c r="G716">
        <v>7342</v>
      </c>
      <c r="H716">
        <v>48.333333333333336</v>
      </c>
    </row>
    <row r="717" spans="1:8" x14ac:dyDescent="0.25">
      <c r="A717" t="s">
        <v>16</v>
      </c>
      <c r="B717" s="3" t="s">
        <v>28</v>
      </c>
      <c r="C717" t="s">
        <v>6</v>
      </c>
      <c r="D717">
        <v>6</v>
      </c>
      <c r="E717">
        <f t="shared" si="39"/>
        <v>5.6</v>
      </c>
      <c r="F717" t="s">
        <v>19</v>
      </c>
      <c r="G717">
        <v>7342</v>
      </c>
      <c r="H717">
        <v>58.6</v>
      </c>
    </row>
    <row r="718" spans="1:8" x14ac:dyDescent="0.25">
      <c r="A718" t="s">
        <v>17</v>
      </c>
      <c r="B718" s="3" t="s">
        <v>28</v>
      </c>
      <c r="C718" t="s">
        <v>6</v>
      </c>
      <c r="D718">
        <v>6</v>
      </c>
      <c r="E718">
        <f t="shared" si="39"/>
        <v>5.6</v>
      </c>
      <c r="F718" t="s">
        <v>32</v>
      </c>
      <c r="G718">
        <v>7342</v>
      </c>
      <c r="H718">
        <v>53.2</v>
      </c>
    </row>
    <row r="719" spans="1:8" x14ac:dyDescent="0.25">
      <c r="A719" t="s">
        <v>16</v>
      </c>
      <c r="B719" s="3" t="s">
        <v>30</v>
      </c>
      <c r="C719" t="s">
        <v>3</v>
      </c>
      <c r="D719">
        <v>8</v>
      </c>
      <c r="E719">
        <f t="shared" si="39"/>
        <v>6.8</v>
      </c>
      <c r="F719" t="s">
        <v>18</v>
      </c>
      <c r="G719">
        <v>7342</v>
      </c>
      <c r="H719">
        <v>70.400000000000006</v>
      </c>
    </row>
    <row r="720" spans="1:8" x14ac:dyDescent="0.25">
      <c r="A720" t="s">
        <v>16</v>
      </c>
      <c r="B720" s="3" t="s">
        <v>30</v>
      </c>
      <c r="C720" t="s">
        <v>3</v>
      </c>
      <c r="D720">
        <v>8</v>
      </c>
      <c r="E720">
        <f t="shared" si="39"/>
        <v>6.8</v>
      </c>
      <c r="F720" t="s">
        <v>19</v>
      </c>
      <c r="G720">
        <v>7342</v>
      </c>
      <c r="H720">
        <v>85.2</v>
      </c>
    </row>
    <row r="721" spans="1:8" x14ac:dyDescent="0.25">
      <c r="A721" t="s">
        <v>17</v>
      </c>
      <c r="B721" s="3" t="s">
        <v>30</v>
      </c>
      <c r="C721" t="s">
        <v>3</v>
      </c>
      <c r="D721">
        <v>8</v>
      </c>
      <c r="E721">
        <f t="shared" si="39"/>
        <v>6.8</v>
      </c>
      <c r="F721" t="s">
        <v>32</v>
      </c>
      <c r="G721">
        <v>7342</v>
      </c>
      <c r="H721">
        <v>72.8</v>
      </c>
    </row>
    <row r="722" spans="1:8" x14ac:dyDescent="0.25">
      <c r="A722" t="s">
        <v>16</v>
      </c>
      <c r="B722" s="2">
        <v>1</v>
      </c>
      <c r="C722" s="2">
        <v>1</v>
      </c>
      <c r="D722" s="1">
        <v>10</v>
      </c>
      <c r="E722">
        <v>2</v>
      </c>
      <c r="F722" t="s">
        <v>18</v>
      </c>
      <c r="G722">
        <v>7343</v>
      </c>
      <c r="H722">
        <v>20</v>
      </c>
    </row>
    <row r="723" spans="1:8" x14ac:dyDescent="0.25">
      <c r="A723" t="s">
        <v>16</v>
      </c>
      <c r="B723" s="2">
        <v>1</v>
      </c>
      <c r="C723" s="2">
        <v>1</v>
      </c>
      <c r="D723" s="1">
        <v>10</v>
      </c>
      <c r="E723">
        <v>8</v>
      </c>
      <c r="F723" t="s">
        <v>19</v>
      </c>
      <c r="G723">
        <v>7343</v>
      </c>
      <c r="H723">
        <v>86</v>
      </c>
    </row>
    <row r="724" spans="1:8" x14ac:dyDescent="0.25">
      <c r="A724" t="s">
        <v>16</v>
      </c>
      <c r="B724" s="2">
        <v>1</v>
      </c>
      <c r="C724" s="2">
        <v>1</v>
      </c>
      <c r="D724" s="1">
        <v>10</v>
      </c>
      <c r="E724">
        <v>5</v>
      </c>
      <c r="F724" t="s">
        <v>32</v>
      </c>
      <c r="G724">
        <v>7343</v>
      </c>
      <c r="H724">
        <v>50</v>
      </c>
    </row>
    <row r="725" spans="1:8" x14ac:dyDescent="0.25">
      <c r="A725" t="s">
        <v>16</v>
      </c>
      <c r="B725" s="3" t="s">
        <v>22</v>
      </c>
      <c r="C725" t="s">
        <v>10</v>
      </c>
      <c r="D725">
        <v>2</v>
      </c>
      <c r="E725">
        <f t="shared" ref="E725:E739" si="40">(D725*8+(10-D725)*2)/10</f>
        <v>3.2</v>
      </c>
      <c r="F725" t="s">
        <v>18</v>
      </c>
      <c r="G725">
        <v>7343</v>
      </c>
      <c r="H725">
        <v>21</v>
      </c>
    </row>
    <row r="726" spans="1:8" x14ac:dyDescent="0.25">
      <c r="A726" t="s">
        <v>16</v>
      </c>
      <c r="B726" s="3" t="s">
        <v>22</v>
      </c>
      <c r="C726" t="s">
        <v>10</v>
      </c>
      <c r="D726">
        <v>2</v>
      </c>
      <c r="E726">
        <f t="shared" si="40"/>
        <v>3.2</v>
      </c>
      <c r="F726" t="s">
        <v>19</v>
      </c>
      <c r="G726">
        <v>7343</v>
      </c>
      <c r="H726">
        <v>32.5</v>
      </c>
    </row>
    <row r="727" spans="1:8" x14ac:dyDescent="0.25">
      <c r="A727" t="s">
        <v>17</v>
      </c>
      <c r="B727" s="3" t="s">
        <v>22</v>
      </c>
      <c r="C727" t="s">
        <v>10</v>
      </c>
      <c r="D727">
        <v>2</v>
      </c>
      <c r="E727">
        <f t="shared" si="40"/>
        <v>3.2</v>
      </c>
      <c r="F727" t="s">
        <v>32</v>
      </c>
      <c r="G727">
        <v>7343</v>
      </c>
      <c r="H727">
        <v>19.333333333333332</v>
      </c>
    </row>
    <row r="728" spans="1:8" x14ac:dyDescent="0.25">
      <c r="A728" t="s">
        <v>16</v>
      </c>
      <c r="B728" s="3" t="s">
        <v>24</v>
      </c>
      <c r="C728" t="s">
        <v>12</v>
      </c>
      <c r="D728">
        <v>4</v>
      </c>
      <c r="E728">
        <f t="shared" si="40"/>
        <v>4.4000000000000004</v>
      </c>
      <c r="F728" t="s">
        <v>18</v>
      </c>
      <c r="G728">
        <v>7343</v>
      </c>
      <c r="H728">
        <v>38.833333333333336</v>
      </c>
    </row>
    <row r="729" spans="1:8" x14ac:dyDescent="0.25">
      <c r="A729" t="s">
        <v>16</v>
      </c>
      <c r="B729" s="3" t="s">
        <v>24</v>
      </c>
      <c r="C729" t="s">
        <v>12</v>
      </c>
      <c r="D729">
        <v>4</v>
      </c>
      <c r="E729">
        <f t="shared" si="40"/>
        <v>4.4000000000000004</v>
      </c>
      <c r="F729" t="s">
        <v>19</v>
      </c>
      <c r="G729">
        <v>7343</v>
      </c>
      <c r="H729">
        <v>43.8</v>
      </c>
    </row>
    <row r="730" spans="1:8" x14ac:dyDescent="0.25">
      <c r="A730" t="s">
        <v>17</v>
      </c>
      <c r="B730" s="3" t="s">
        <v>24</v>
      </c>
      <c r="C730" t="s">
        <v>12</v>
      </c>
      <c r="D730">
        <v>4</v>
      </c>
      <c r="E730">
        <f t="shared" si="40"/>
        <v>4.4000000000000004</v>
      </c>
      <c r="F730" t="s">
        <v>32</v>
      </c>
      <c r="G730">
        <v>7343</v>
      </c>
      <c r="H730">
        <v>41.666666666666664</v>
      </c>
    </row>
    <row r="731" spans="1:8" x14ac:dyDescent="0.25">
      <c r="A731" t="s">
        <v>16</v>
      </c>
      <c r="B731" s="3" t="s">
        <v>26</v>
      </c>
      <c r="C731" t="s">
        <v>8</v>
      </c>
      <c r="D731">
        <v>5</v>
      </c>
      <c r="E731">
        <f t="shared" si="40"/>
        <v>5</v>
      </c>
      <c r="F731" t="s">
        <v>18</v>
      </c>
      <c r="G731">
        <v>7343</v>
      </c>
      <c r="H731">
        <v>43</v>
      </c>
    </row>
    <row r="732" spans="1:8" x14ac:dyDescent="0.25">
      <c r="A732" t="s">
        <v>16</v>
      </c>
      <c r="B732" s="3" t="s">
        <v>26</v>
      </c>
      <c r="C732" t="s">
        <v>8</v>
      </c>
      <c r="D732">
        <v>5</v>
      </c>
      <c r="E732">
        <f t="shared" si="40"/>
        <v>5</v>
      </c>
      <c r="F732" t="s">
        <v>19</v>
      </c>
      <c r="G732">
        <v>7343</v>
      </c>
      <c r="H732">
        <v>60</v>
      </c>
    </row>
    <row r="733" spans="1:8" x14ac:dyDescent="0.25">
      <c r="A733" t="s">
        <v>17</v>
      </c>
      <c r="B733" s="3" t="s">
        <v>26</v>
      </c>
      <c r="C733" t="s">
        <v>8</v>
      </c>
      <c r="D733">
        <v>5</v>
      </c>
      <c r="E733">
        <f t="shared" si="40"/>
        <v>5</v>
      </c>
      <c r="F733" t="s">
        <v>32</v>
      </c>
      <c r="G733">
        <v>7343</v>
      </c>
      <c r="H733">
        <v>54.333333333333336</v>
      </c>
    </row>
    <row r="734" spans="1:8" x14ac:dyDescent="0.25">
      <c r="A734" t="s">
        <v>16</v>
      </c>
      <c r="B734" s="3" t="s">
        <v>28</v>
      </c>
      <c r="C734" t="s">
        <v>6</v>
      </c>
      <c r="D734">
        <v>6</v>
      </c>
      <c r="E734">
        <f t="shared" si="40"/>
        <v>5.6</v>
      </c>
      <c r="F734" t="s">
        <v>18</v>
      </c>
      <c r="G734">
        <v>7343</v>
      </c>
      <c r="H734">
        <v>57.166666666666664</v>
      </c>
    </row>
    <row r="735" spans="1:8" x14ac:dyDescent="0.25">
      <c r="A735" t="s">
        <v>16</v>
      </c>
      <c r="B735" s="3" t="s">
        <v>28</v>
      </c>
      <c r="C735" t="s">
        <v>6</v>
      </c>
      <c r="D735">
        <v>6</v>
      </c>
      <c r="E735">
        <f t="shared" si="40"/>
        <v>5.6</v>
      </c>
      <c r="F735" t="s">
        <v>19</v>
      </c>
      <c r="G735">
        <v>7343</v>
      </c>
      <c r="H735">
        <v>64.599999999999994</v>
      </c>
    </row>
    <row r="736" spans="1:8" x14ac:dyDescent="0.25">
      <c r="A736" t="s">
        <v>17</v>
      </c>
      <c r="B736" s="3" t="s">
        <v>28</v>
      </c>
      <c r="C736" t="s">
        <v>6</v>
      </c>
      <c r="D736">
        <v>6</v>
      </c>
      <c r="E736">
        <f t="shared" si="40"/>
        <v>5.6</v>
      </c>
      <c r="F736" t="s">
        <v>32</v>
      </c>
      <c r="G736">
        <v>7343</v>
      </c>
      <c r="H736">
        <v>58</v>
      </c>
    </row>
    <row r="737" spans="1:8" x14ac:dyDescent="0.25">
      <c r="A737" t="s">
        <v>16</v>
      </c>
      <c r="B737" s="3" t="s">
        <v>30</v>
      </c>
      <c r="C737" t="s">
        <v>3</v>
      </c>
      <c r="D737">
        <v>8</v>
      </c>
      <c r="E737">
        <f t="shared" si="40"/>
        <v>6.8</v>
      </c>
      <c r="F737" t="s">
        <v>18</v>
      </c>
      <c r="G737">
        <v>7343</v>
      </c>
      <c r="H737">
        <v>73.333333333333329</v>
      </c>
    </row>
    <row r="738" spans="1:8" x14ac:dyDescent="0.25">
      <c r="A738" t="s">
        <v>16</v>
      </c>
      <c r="B738" s="3" t="s">
        <v>30</v>
      </c>
      <c r="C738" t="s">
        <v>3</v>
      </c>
      <c r="D738">
        <v>8</v>
      </c>
      <c r="E738">
        <f t="shared" si="40"/>
        <v>6.8</v>
      </c>
      <c r="F738" t="s">
        <v>19</v>
      </c>
      <c r="G738">
        <v>7343</v>
      </c>
      <c r="H738">
        <v>83.6</v>
      </c>
    </row>
    <row r="739" spans="1:8" x14ac:dyDescent="0.25">
      <c r="A739" t="s">
        <v>17</v>
      </c>
      <c r="B739" s="3" t="s">
        <v>30</v>
      </c>
      <c r="C739" t="s">
        <v>3</v>
      </c>
      <c r="D739">
        <v>8</v>
      </c>
      <c r="E739">
        <f t="shared" si="40"/>
        <v>6.8</v>
      </c>
      <c r="F739" t="s">
        <v>32</v>
      </c>
      <c r="G739">
        <v>7343</v>
      </c>
      <c r="H739">
        <v>75.833333333333329</v>
      </c>
    </row>
    <row r="740" spans="1:8" x14ac:dyDescent="0.25">
      <c r="A740" t="s">
        <v>16</v>
      </c>
      <c r="B740" s="2">
        <v>1</v>
      </c>
      <c r="C740" s="2">
        <v>1</v>
      </c>
      <c r="D740" s="1">
        <v>10</v>
      </c>
      <c r="E740">
        <v>2</v>
      </c>
      <c r="F740" t="s">
        <v>18</v>
      </c>
      <c r="G740">
        <v>7344</v>
      </c>
      <c r="H740">
        <v>43.5</v>
      </c>
    </row>
    <row r="741" spans="1:8" x14ac:dyDescent="0.25">
      <c r="A741" t="s">
        <v>16</v>
      </c>
      <c r="B741" s="2">
        <v>1</v>
      </c>
      <c r="C741" s="2">
        <v>1</v>
      </c>
      <c r="D741" s="1">
        <v>10</v>
      </c>
      <c r="E741">
        <v>8</v>
      </c>
      <c r="F741" t="s">
        <v>19</v>
      </c>
      <c r="G741">
        <v>7344</v>
      </c>
      <c r="H741">
        <v>80.166666666666671</v>
      </c>
    </row>
    <row r="742" spans="1:8" x14ac:dyDescent="0.25">
      <c r="A742" t="s">
        <v>16</v>
      </c>
      <c r="B742" s="2">
        <v>1</v>
      </c>
      <c r="C742" s="2">
        <v>1</v>
      </c>
      <c r="D742" s="1">
        <v>10</v>
      </c>
      <c r="E742">
        <v>5</v>
      </c>
      <c r="F742" t="s">
        <v>32</v>
      </c>
      <c r="G742">
        <v>7344</v>
      </c>
      <c r="H742">
        <v>50</v>
      </c>
    </row>
    <row r="743" spans="1:8" x14ac:dyDescent="0.25">
      <c r="A743" t="s">
        <v>16</v>
      </c>
      <c r="B743" s="3" t="s">
        <v>22</v>
      </c>
      <c r="C743" t="s">
        <v>10</v>
      </c>
      <c r="D743">
        <v>2</v>
      </c>
      <c r="E743">
        <f t="shared" ref="E743:E757" si="41">(D743*8+(10-D743)*2)/10</f>
        <v>3.2</v>
      </c>
      <c r="F743" t="s">
        <v>18</v>
      </c>
      <c r="G743">
        <v>7344</v>
      </c>
      <c r="H743">
        <v>31.166666666666668</v>
      </c>
    </row>
    <row r="744" spans="1:8" x14ac:dyDescent="0.25">
      <c r="A744" t="s">
        <v>16</v>
      </c>
      <c r="B744" s="3" t="s">
        <v>22</v>
      </c>
      <c r="C744" t="s">
        <v>10</v>
      </c>
      <c r="D744">
        <v>2</v>
      </c>
      <c r="E744">
        <f t="shared" si="41"/>
        <v>3.2</v>
      </c>
      <c r="F744" t="s">
        <v>19</v>
      </c>
      <c r="G744">
        <v>7344</v>
      </c>
      <c r="H744">
        <v>47.833333333333336</v>
      </c>
    </row>
    <row r="745" spans="1:8" x14ac:dyDescent="0.25">
      <c r="A745" t="s">
        <v>17</v>
      </c>
      <c r="B745" s="3" t="s">
        <v>22</v>
      </c>
      <c r="C745" t="s">
        <v>10</v>
      </c>
      <c r="D745">
        <v>2</v>
      </c>
      <c r="E745">
        <f t="shared" si="41"/>
        <v>3.2</v>
      </c>
      <c r="F745" t="s">
        <v>32</v>
      </c>
      <c r="G745">
        <v>7344</v>
      </c>
      <c r="H745">
        <v>29.166666666666668</v>
      </c>
    </row>
    <row r="746" spans="1:8" x14ac:dyDescent="0.25">
      <c r="A746" t="s">
        <v>16</v>
      </c>
      <c r="B746" s="3" t="s">
        <v>24</v>
      </c>
      <c r="C746" t="s">
        <v>12</v>
      </c>
      <c r="D746">
        <v>4</v>
      </c>
      <c r="E746">
        <f t="shared" si="41"/>
        <v>4.4000000000000004</v>
      </c>
      <c r="F746" t="s">
        <v>18</v>
      </c>
      <c r="G746">
        <v>7344</v>
      </c>
      <c r="H746">
        <v>39.166666666666664</v>
      </c>
    </row>
    <row r="747" spans="1:8" x14ac:dyDescent="0.25">
      <c r="A747" t="s">
        <v>16</v>
      </c>
      <c r="B747" s="3" t="s">
        <v>24</v>
      </c>
      <c r="C747" t="s">
        <v>12</v>
      </c>
      <c r="D747">
        <v>4</v>
      </c>
      <c r="E747">
        <f t="shared" si="41"/>
        <v>4.4000000000000004</v>
      </c>
      <c r="F747" t="s">
        <v>19</v>
      </c>
      <c r="G747">
        <v>7344</v>
      </c>
      <c r="H747">
        <v>54.166666666666664</v>
      </c>
    </row>
    <row r="748" spans="1:8" x14ac:dyDescent="0.25">
      <c r="A748" t="s">
        <v>17</v>
      </c>
      <c r="B748" s="3" t="s">
        <v>24</v>
      </c>
      <c r="C748" t="s">
        <v>12</v>
      </c>
      <c r="D748">
        <v>4</v>
      </c>
      <c r="E748">
        <f t="shared" si="41"/>
        <v>4.4000000000000004</v>
      </c>
      <c r="F748" t="s">
        <v>32</v>
      </c>
      <c r="G748">
        <v>7344</v>
      </c>
      <c r="H748">
        <v>39.166666666666664</v>
      </c>
    </row>
    <row r="749" spans="1:8" x14ac:dyDescent="0.25">
      <c r="A749" t="s">
        <v>16</v>
      </c>
      <c r="B749" s="3" t="s">
        <v>26</v>
      </c>
      <c r="C749" t="s">
        <v>8</v>
      </c>
      <c r="D749">
        <v>5</v>
      </c>
      <c r="E749">
        <f t="shared" si="41"/>
        <v>5</v>
      </c>
      <c r="F749" t="s">
        <v>18</v>
      </c>
      <c r="G749">
        <v>7344</v>
      </c>
      <c r="H749">
        <v>48.333333333333336</v>
      </c>
    </row>
    <row r="750" spans="1:8" x14ac:dyDescent="0.25">
      <c r="A750" t="s">
        <v>16</v>
      </c>
      <c r="B750" s="3" t="s">
        <v>26</v>
      </c>
      <c r="C750" t="s">
        <v>8</v>
      </c>
      <c r="D750">
        <v>5</v>
      </c>
      <c r="E750">
        <f t="shared" si="41"/>
        <v>5</v>
      </c>
      <c r="F750" t="s">
        <v>19</v>
      </c>
      <c r="G750">
        <v>7344</v>
      </c>
      <c r="H750">
        <v>60</v>
      </c>
    </row>
    <row r="751" spans="1:8" x14ac:dyDescent="0.25">
      <c r="A751" t="s">
        <v>17</v>
      </c>
      <c r="B751" s="3" t="s">
        <v>26</v>
      </c>
      <c r="C751" t="s">
        <v>8</v>
      </c>
      <c r="D751">
        <v>5</v>
      </c>
      <c r="E751">
        <f t="shared" si="41"/>
        <v>5</v>
      </c>
      <c r="F751" t="s">
        <v>32</v>
      </c>
      <c r="G751">
        <v>7344</v>
      </c>
      <c r="H751">
        <v>50</v>
      </c>
    </row>
    <row r="752" spans="1:8" x14ac:dyDescent="0.25">
      <c r="A752" t="s">
        <v>16</v>
      </c>
      <c r="B752" s="3" t="s">
        <v>28</v>
      </c>
      <c r="C752" t="s">
        <v>6</v>
      </c>
      <c r="D752">
        <v>6</v>
      </c>
      <c r="E752">
        <f t="shared" si="41"/>
        <v>5.6</v>
      </c>
      <c r="F752" t="s">
        <v>18</v>
      </c>
      <c r="G752">
        <v>7344</v>
      </c>
      <c r="H752">
        <v>50</v>
      </c>
    </row>
    <row r="753" spans="1:8" x14ac:dyDescent="0.25">
      <c r="A753" t="s">
        <v>16</v>
      </c>
      <c r="B753" s="3" t="s">
        <v>28</v>
      </c>
      <c r="C753" t="s">
        <v>6</v>
      </c>
      <c r="D753">
        <v>6</v>
      </c>
      <c r="E753">
        <f t="shared" si="41"/>
        <v>5.6</v>
      </c>
      <c r="F753" t="s">
        <v>19</v>
      </c>
      <c r="G753">
        <v>7344</v>
      </c>
      <c r="H753">
        <v>69.5</v>
      </c>
    </row>
    <row r="754" spans="1:8" x14ac:dyDescent="0.25">
      <c r="A754" t="s">
        <v>17</v>
      </c>
      <c r="B754" s="3" t="s">
        <v>28</v>
      </c>
      <c r="C754" t="s">
        <v>6</v>
      </c>
      <c r="D754">
        <v>6</v>
      </c>
      <c r="E754">
        <f t="shared" si="41"/>
        <v>5.6</v>
      </c>
      <c r="F754" t="s">
        <v>32</v>
      </c>
      <c r="G754">
        <v>7344</v>
      </c>
      <c r="H754">
        <v>55.75</v>
      </c>
    </row>
    <row r="755" spans="1:8" x14ac:dyDescent="0.25">
      <c r="A755" t="s">
        <v>16</v>
      </c>
      <c r="B755" s="3" t="s">
        <v>30</v>
      </c>
      <c r="C755" t="s">
        <v>3</v>
      </c>
      <c r="D755">
        <v>8</v>
      </c>
      <c r="E755">
        <f t="shared" si="41"/>
        <v>6.8</v>
      </c>
      <c r="F755" t="s">
        <v>18</v>
      </c>
      <c r="G755">
        <v>7344</v>
      </c>
      <c r="H755">
        <v>67.833333333333329</v>
      </c>
    </row>
    <row r="756" spans="1:8" x14ac:dyDescent="0.25">
      <c r="A756" t="s">
        <v>16</v>
      </c>
      <c r="B756" s="3" t="s">
        <v>30</v>
      </c>
      <c r="C756" t="s">
        <v>3</v>
      </c>
      <c r="D756">
        <v>8</v>
      </c>
      <c r="E756">
        <f t="shared" si="41"/>
        <v>6.8</v>
      </c>
      <c r="F756" t="s">
        <v>19</v>
      </c>
      <c r="G756">
        <v>7344</v>
      </c>
      <c r="H756">
        <v>86.2</v>
      </c>
    </row>
    <row r="757" spans="1:8" x14ac:dyDescent="0.25">
      <c r="A757" t="s">
        <v>17</v>
      </c>
      <c r="B757" s="3" t="s">
        <v>30</v>
      </c>
      <c r="C757" t="s">
        <v>3</v>
      </c>
      <c r="D757">
        <v>8</v>
      </c>
      <c r="E757">
        <f t="shared" si="41"/>
        <v>6.8</v>
      </c>
      <c r="F757" t="s">
        <v>32</v>
      </c>
      <c r="G757">
        <v>7344</v>
      </c>
      <c r="H757">
        <v>81</v>
      </c>
    </row>
    <row r="758" spans="1:8" x14ac:dyDescent="0.25">
      <c r="A758" t="s">
        <v>16</v>
      </c>
      <c r="B758" s="2">
        <v>1</v>
      </c>
      <c r="C758" s="2">
        <v>1</v>
      </c>
      <c r="D758" s="1">
        <v>10</v>
      </c>
      <c r="E758">
        <v>2</v>
      </c>
      <c r="F758" t="s">
        <v>18</v>
      </c>
      <c r="G758">
        <v>7345</v>
      </c>
      <c r="H758">
        <v>11.833333333333334</v>
      </c>
    </row>
    <row r="759" spans="1:8" x14ac:dyDescent="0.25">
      <c r="A759" t="s">
        <v>16</v>
      </c>
      <c r="B759" s="2">
        <v>1</v>
      </c>
      <c r="C759" s="2">
        <v>1</v>
      </c>
      <c r="D759" s="1">
        <v>10</v>
      </c>
      <c r="E759">
        <v>8</v>
      </c>
      <c r="F759" t="s">
        <v>19</v>
      </c>
      <c r="G759">
        <v>7345</v>
      </c>
      <c r="H759">
        <v>64.400000000000006</v>
      </c>
    </row>
    <row r="760" spans="1:8" x14ac:dyDescent="0.25">
      <c r="A760" t="s">
        <v>16</v>
      </c>
      <c r="B760" s="2">
        <v>1</v>
      </c>
      <c r="C760" s="2">
        <v>1</v>
      </c>
      <c r="D760" s="1">
        <v>10</v>
      </c>
      <c r="E760">
        <v>5</v>
      </c>
      <c r="F760" t="s">
        <v>32</v>
      </c>
      <c r="G760">
        <v>7345</v>
      </c>
      <c r="H760">
        <v>29.833333333333332</v>
      </c>
    </row>
    <row r="761" spans="1:8" x14ac:dyDescent="0.25">
      <c r="A761" t="s">
        <v>16</v>
      </c>
      <c r="B761" s="3" t="s">
        <v>22</v>
      </c>
      <c r="C761" t="s">
        <v>10</v>
      </c>
      <c r="D761">
        <v>2</v>
      </c>
      <c r="E761">
        <f t="shared" ref="E761:E775" si="42">(D761*8+(10-D761)*2)/10</f>
        <v>3.2</v>
      </c>
      <c r="F761" t="s">
        <v>18</v>
      </c>
      <c r="G761">
        <v>7345</v>
      </c>
      <c r="H761">
        <v>9.3333333333333339</v>
      </c>
    </row>
    <row r="762" spans="1:8" x14ac:dyDescent="0.25">
      <c r="A762" t="s">
        <v>16</v>
      </c>
      <c r="B762" s="3" t="s">
        <v>22</v>
      </c>
      <c r="C762" t="s">
        <v>10</v>
      </c>
      <c r="D762">
        <v>2</v>
      </c>
      <c r="E762">
        <f t="shared" si="42"/>
        <v>3.2</v>
      </c>
      <c r="F762" t="s">
        <v>19</v>
      </c>
      <c r="G762">
        <v>7345</v>
      </c>
      <c r="H762">
        <v>11.166666666666666</v>
      </c>
    </row>
    <row r="763" spans="1:8" x14ac:dyDescent="0.25">
      <c r="A763" t="s">
        <v>17</v>
      </c>
      <c r="B763" s="3" t="s">
        <v>22</v>
      </c>
      <c r="C763" t="s">
        <v>10</v>
      </c>
      <c r="D763">
        <v>2</v>
      </c>
      <c r="E763">
        <f t="shared" si="42"/>
        <v>3.2</v>
      </c>
      <c r="F763" t="s">
        <v>32</v>
      </c>
      <c r="G763">
        <v>7345</v>
      </c>
      <c r="H763">
        <v>11.333333333333334</v>
      </c>
    </row>
    <row r="764" spans="1:8" x14ac:dyDescent="0.25">
      <c r="A764" t="s">
        <v>16</v>
      </c>
      <c r="B764" s="3" t="s">
        <v>24</v>
      </c>
      <c r="C764" t="s">
        <v>12</v>
      </c>
      <c r="D764">
        <v>4</v>
      </c>
      <c r="E764">
        <f t="shared" si="42"/>
        <v>4.4000000000000004</v>
      </c>
      <c r="F764" t="s">
        <v>18</v>
      </c>
      <c r="G764">
        <v>7345</v>
      </c>
      <c r="H764">
        <v>15.166666666666666</v>
      </c>
    </row>
    <row r="765" spans="1:8" x14ac:dyDescent="0.25">
      <c r="A765" t="s">
        <v>16</v>
      </c>
      <c r="B765" s="3" t="s">
        <v>24</v>
      </c>
      <c r="C765" t="s">
        <v>12</v>
      </c>
      <c r="D765">
        <v>4</v>
      </c>
      <c r="E765">
        <f t="shared" si="42"/>
        <v>4.4000000000000004</v>
      </c>
      <c r="F765" t="s">
        <v>19</v>
      </c>
      <c r="G765">
        <v>7345</v>
      </c>
      <c r="H765">
        <v>17.399999999999999</v>
      </c>
    </row>
    <row r="766" spans="1:8" x14ac:dyDescent="0.25">
      <c r="A766" t="s">
        <v>17</v>
      </c>
      <c r="B766" s="3" t="s">
        <v>24</v>
      </c>
      <c r="C766" t="s">
        <v>12</v>
      </c>
      <c r="D766">
        <v>4</v>
      </c>
      <c r="E766">
        <f t="shared" si="42"/>
        <v>4.4000000000000004</v>
      </c>
      <c r="F766" t="s">
        <v>32</v>
      </c>
      <c r="G766">
        <v>7345</v>
      </c>
      <c r="H766">
        <v>11.166666666666666</v>
      </c>
    </row>
    <row r="767" spans="1:8" x14ac:dyDescent="0.25">
      <c r="A767" t="s">
        <v>16</v>
      </c>
      <c r="B767" s="3" t="s">
        <v>26</v>
      </c>
      <c r="C767" t="s">
        <v>8</v>
      </c>
      <c r="D767">
        <v>5</v>
      </c>
      <c r="E767">
        <f t="shared" si="42"/>
        <v>5</v>
      </c>
      <c r="F767" t="s">
        <v>18</v>
      </c>
      <c r="G767">
        <v>7345</v>
      </c>
      <c r="H767">
        <v>17.399999999999999</v>
      </c>
    </row>
    <row r="768" spans="1:8" x14ac:dyDescent="0.25">
      <c r="A768" t="s">
        <v>16</v>
      </c>
      <c r="B768" s="3" t="s">
        <v>26</v>
      </c>
      <c r="C768" t="s">
        <v>8</v>
      </c>
      <c r="D768">
        <v>5</v>
      </c>
      <c r="E768">
        <f t="shared" si="42"/>
        <v>5</v>
      </c>
      <c r="F768" t="s">
        <v>19</v>
      </c>
      <c r="G768">
        <v>7345</v>
      </c>
      <c r="H768">
        <v>27.5</v>
      </c>
    </row>
    <row r="769" spans="1:8" x14ac:dyDescent="0.25">
      <c r="A769" t="s">
        <v>17</v>
      </c>
      <c r="B769" s="3" t="s">
        <v>26</v>
      </c>
      <c r="C769" t="s">
        <v>8</v>
      </c>
      <c r="D769">
        <v>5</v>
      </c>
      <c r="E769">
        <f t="shared" si="42"/>
        <v>5</v>
      </c>
      <c r="F769" t="s">
        <v>32</v>
      </c>
      <c r="G769">
        <v>7345</v>
      </c>
      <c r="H769">
        <v>17.5</v>
      </c>
    </row>
    <row r="770" spans="1:8" x14ac:dyDescent="0.25">
      <c r="A770" t="s">
        <v>16</v>
      </c>
      <c r="B770" s="3" t="s">
        <v>28</v>
      </c>
      <c r="C770" t="s">
        <v>6</v>
      </c>
      <c r="D770">
        <v>6</v>
      </c>
      <c r="E770">
        <f t="shared" si="42"/>
        <v>5.6</v>
      </c>
      <c r="F770" t="s">
        <v>18</v>
      </c>
      <c r="G770">
        <v>7345</v>
      </c>
      <c r="H770">
        <v>16.666666666666668</v>
      </c>
    </row>
    <row r="771" spans="1:8" x14ac:dyDescent="0.25">
      <c r="A771" t="s">
        <v>16</v>
      </c>
      <c r="B771" s="3" t="s">
        <v>28</v>
      </c>
      <c r="C771" t="s">
        <v>6</v>
      </c>
      <c r="D771">
        <v>6</v>
      </c>
      <c r="E771">
        <f t="shared" si="42"/>
        <v>5.6</v>
      </c>
      <c r="F771" t="s">
        <v>19</v>
      </c>
      <c r="G771">
        <v>7345</v>
      </c>
      <c r="H771">
        <v>21.166666666666668</v>
      </c>
    </row>
    <row r="772" spans="1:8" x14ac:dyDescent="0.25">
      <c r="A772" t="s">
        <v>17</v>
      </c>
      <c r="B772" s="3" t="s">
        <v>28</v>
      </c>
      <c r="C772" t="s">
        <v>6</v>
      </c>
      <c r="D772">
        <v>6</v>
      </c>
      <c r="E772">
        <f t="shared" si="42"/>
        <v>5.6</v>
      </c>
      <c r="F772" t="s">
        <v>32</v>
      </c>
      <c r="G772">
        <v>7345</v>
      </c>
      <c r="H772">
        <v>12.166666666666666</v>
      </c>
    </row>
    <row r="773" spans="1:8" x14ac:dyDescent="0.25">
      <c r="A773" t="s">
        <v>16</v>
      </c>
      <c r="B773" s="3" t="s">
        <v>30</v>
      </c>
      <c r="C773" t="s">
        <v>3</v>
      </c>
      <c r="D773">
        <v>8</v>
      </c>
      <c r="E773">
        <f t="shared" si="42"/>
        <v>6.8</v>
      </c>
      <c r="F773" t="s">
        <v>18</v>
      </c>
      <c r="G773">
        <v>7345</v>
      </c>
      <c r="H773">
        <v>28.333333333333332</v>
      </c>
    </row>
    <row r="774" spans="1:8" x14ac:dyDescent="0.25">
      <c r="A774" t="s">
        <v>16</v>
      </c>
      <c r="B774" s="3" t="s">
        <v>30</v>
      </c>
      <c r="C774" t="s">
        <v>3</v>
      </c>
      <c r="D774">
        <v>8</v>
      </c>
      <c r="E774">
        <f t="shared" si="42"/>
        <v>6.8</v>
      </c>
      <c r="F774" t="s">
        <v>19</v>
      </c>
      <c r="G774">
        <v>7345</v>
      </c>
      <c r="H774">
        <v>37.666666666666664</v>
      </c>
    </row>
    <row r="775" spans="1:8" x14ac:dyDescent="0.25">
      <c r="A775" t="s">
        <v>17</v>
      </c>
      <c r="B775" s="3" t="s">
        <v>30</v>
      </c>
      <c r="C775" t="s">
        <v>3</v>
      </c>
      <c r="D775">
        <v>8</v>
      </c>
      <c r="E775">
        <f t="shared" si="42"/>
        <v>6.8</v>
      </c>
      <c r="F775" t="s">
        <v>32</v>
      </c>
      <c r="G775">
        <v>7345</v>
      </c>
      <c r="H775">
        <v>27.5</v>
      </c>
    </row>
  </sheetData>
  <sortState xmlns:xlrd2="http://schemas.microsoft.com/office/spreadsheetml/2017/richdata2" ref="A2:H775">
    <sortCondition ref="G2:G775"/>
    <sortCondition ref="B2:B775"/>
    <sortCondition ref="F2:F775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22804-F69E-413F-9C3B-FBCC15AB43BB}">
  <dimension ref="A1:AD31"/>
  <sheetViews>
    <sheetView topLeftCell="C1" workbookViewId="0">
      <selection activeCell="Q18" sqref="Q18"/>
    </sheetView>
  </sheetViews>
  <sheetFormatPr defaultRowHeight="13.8" x14ac:dyDescent="0.25"/>
  <cols>
    <col min="1" max="1" width="7" bestFit="1" customWidth="1"/>
    <col min="2" max="2" width="9.109375" bestFit="1" customWidth="1"/>
    <col min="3" max="3" width="11" bestFit="1" customWidth="1"/>
    <col min="4" max="4" width="10.33203125" bestFit="1" customWidth="1"/>
    <col min="5" max="5" width="10.109375" bestFit="1" customWidth="1"/>
    <col min="6" max="6" width="16.88671875" bestFit="1" customWidth="1"/>
    <col min="7" max="7" width="6.5546875" bestFit="1" customWidth="1"/>
    <col min="8" max="8" width="12.77734375" bestFit="1" customWidth="1"/>
    <col min="16" max="16" width="16.88671875" bestFit="1" customWidth="1"/>
  </cols>
  <sheetData>
    <row r="1" spans="1:30" x14ac:dyDescent="0.25">
      <c r="A1" t="s">
        <v>15</v>
      </c>
      <c r="B1" s="3" t="s">
        <v>14</v>
      </c>
      <c r="C1" t="s">
        <v>21</v>
      </c>
      <c r="D1" t="s">
        <v>5</v>
      </c>
      <c r="E1" t="s">
        <v>0</v>
      </c>
      <c r="F1" t="s">
        <v>20</v>
      </c>
      <c r="G1" t="s">
        <v>2</v>
      </c>
      <c r="H1" t="s">
        <v>1</v>
      </c>
      <c r="AA1" t="s">
        <v>36</v>
      </c>
      <c r="AB1" t="s">
        <v>37</v>
      </c>
    </row>
    <row r="2" spans="1:30" x14ac:dyDescent="0.25">
      <c r="A2" t="s">
        <v>16</v>
      </c>
      <c r="B2" s="3" t="s">
        <v>23</v>
      </c>
      <c r="C2" t="s">
        <v>11</v>
      </c>
      <c r="D2">
        <v>2</v>
      </c>
      <c r="E2">
        <f t="shared" ref="E2:E31" si="0">(D2*8+(10-D2)*2)/10</f>
        <v>3.2</v>
      </c>
      <c r="F2" t="s">
        <v>18</v>
      </c>
      <c r="G2">
        <v>7302</v>
      </c>
      <c r="H2">
        <v>19.8333333333333</v>
      </c>
      <c r="K2">
        <v>1.2</v>
      </c>
      <c r="L2" t="s">
        <v>18</v>
      </c>
      <c r="M2">
        <v>7302</v>
      </c>
      <c r="N2">
        <v>19.8333333333333</v>
      </c>
      <c r="P2" t="s">
        <v>32</v>
      </c>
      <c r="Q2">
        <v>7302</v>
      </c>
      <c r="R2">
        <v>20.5</v>
      </c>
      <c r="T2">
        <v>4.8</v>
      </c>
      <c r="U2" t="s">
        <v>19</v>
      </c>
      <c r="V2">
        <v>7302</v>
      </c>
      <c r="W2">
        <v>40</v>
      </c>
      <c r="Y2">
        <v>7302</v>
      </c>
      <c r="Z2">
        <v>1.2</v>
      </c>
      <c r="AA2">
        <f>R2-N2</f>
        <v>0.66666666666669983</v>
      </c>
      <c r="AB2">
        <f>W10-R10</f>
        <v>-0.33333333333330017</v>
      </c>
      <c r="AC2">
        <f>ABS(AA2)</f>
        <v>0.66666666666669983</v>
      </c>
      <c r="AD2">
        <f>ABS(AB2)</f>
        <v>0.33333333333330017</v>
      </c>
    </row>
    <row r="3" spans="1:30" x14ac:dyDescent="0.25">
      <c r="A3" t="s">
        <v>16</v>
      </c>
      <c r="B3" s="3" t="s">
        <v>22</v>
      </c>
      <c r="C3" t="s">
        <v>10</v>
      </c>
      <c r="D3">
        <v>2</v>
      </c>
      <c r="E3">
        <f t="shared" si="0"/>
        <v>3.2</v>
      </c>
      <c r="F3" t="s">
        <v>18</v>
      </c>
      <c r="G3">
        <v>7329</v>
      </c>
      <c r="H3">
        <v>20</v>
      </c>
      <c r="K3">
        <v>1.2</v>
      </c>
      <c r="L3" t="s">
        <v>18</v>
      </c>
      <c r="M3">
        <v>7329</v>
      </c>
      <c r="N3">
        <v>20</v>
      </c>
      <c r="P3" t="s">
        <v>32</v>
      </c>
      <c r="Q3">
        <v>7329</v>
      </c>
      <c r="R3">
        <v>27.1666666666666</v>
      </c>
      <c r="T3">
        <v>4.8</v>
      </c>
      <c r="U3" t="s">
        <v>19</v>
      </c>
      <c r="V3">
        <v>7329</v>
      </c>
      <c r="W3">
        <v>32.200000000000003</v>
      </c>
      <c r="Y3">
        <v>7329</v>
      </c>
      <c r="Z3">
        <v>1.2</v>
      </c>
      <c r="AA3">
        <f t="shared" ref="AA3:AA11" si="1">R3-N3</f>
        <v>7.1666666666666003</v>
      </c>
      <c r="AB3">
        <f>W11-R11</f>
        <v>5.75</v>
      </c>
      <c r="AC3">
        <f t="shared" ref="AC3:AC11" si="2">ABS(AA3)</f>
        <v>7.1666666666666003</v>
      </c>
      <c r="AD3">
        <f t="shared" ref="AD3:AD11" si="3">ABS(AB3)</f>
        <v>5.75</v>
      </c>
    </row>
    <row r="4" spans="1:30" x14ac:dyDescent="0.25">
      <c r="A4" t="s">
        <v>16</v>
      </c>
      <c r="B4" s="3" t="s">
        <v>25</v>
      </c>
      <c r="C4" t="s">
        <v>13</v>
      </c>
      <c r="D4">
        <v>4</v>
      </c>
      <c r="E4">
        <f t="shared" si="0"/>
        <v>4.4000000000000004</v>
      </c>
      <c r="F4" t="s">
        <v>18</v>
      </c>
      <c r="G4">
        <v>7302</v>
      </c>
      <c r="H4">
        <v>20</v>
      </c>
      <c r="K4">
        <v>2.4</v>
      </c>
      <c r="L4" t="s">
        <v>18</v>
      </c>
      <c r="M4">
        <v>7302</v>
      </c>
      <c r="N4">
        <v>20</v>
      </c>
      <c r="P4" t="s">
        <v>32</v>
      </c>
      <c r="Q4">
        <v>7302</v>
      </c>
      <c r="R4">
        <v>28.1666666666666</v>
      </c>
      <c r="T4">
        <v>3.6</v>
      </c>
      <c r="U4" t="s">
        <v>19</v>
      </c>
      <c r="V4">
        <v>7302</v>
      </c>
      <c r="W4">
        <v>40</v>
      </c>
      <c r="Y4">
        <v>7302</v>
      </c>
      <c r="Z4">
        <v>2.4</v>
      </c>
      <c r="AA4">
        <f t="shared" si="1"/>
        <v>8.1666666666666003</v>
      </c>
      <c r="AB4">
        <f>W8-R8</f>
        <v>3.5</v>
      </c>
      <c r="AC4">
        <f t="shared" si="2"/>
        <v>8.1666666666666003</v>
      </c>
      <c r="AD4">
        <f t="shared" si="3"/>
        <v>3.5</v>
      </c>
    </row>
    <row r="5" spans="1:30" x14ac:dyDescent="0.25">
      <c r="A5" t="s">
        <v>16</v>
      </c>
      <c r="B5" s="3" t="s">
        <v>24</v>
      </c>
      <c r="C5" t="s">
        <v>12</v>
      </c>
      <c r="D5">
        <v>4</v>
      </c>
      <c r="E5">
        <f t="shared" si="0"/>
        <v>4.4000000000000004</v>
      </c>
      <c r="F5" t="s">
        <v>18</v>
      </c>
      <c r="G5">
        <v>7329</v>
      </c>
      <c r="H5">
        <v>19.8333333333333</v>
      </c>
      <c r="K5">
        <v>2.4</v>
      </c>
      <c r="L5" t="s">
        <v>18</v>
      </c>
      <c r="M5">
        <v>7329</v>
      </c>
      <c r="N5">
        <v>19.8333333333333</v>
      </c>
      <c r="P5" t="s">
        <v>32</v>
      </c>
      <c r="Q5">
        <v>7329</v>
      </c>
      <c r="R5">
        <v>42.4</v>
      </c>
      <c r="T5">
        <v>3.6</v>
      </c>
      <c r="U5" t="s">
        <v>19</v>
      </c>
      <c r="V5">
        <v>7329</v>
      </c>
      <c r="W5">
        <v>50.6666666666666</v>
      </c>
      <c r="Y5">
        <v>7329</v>
      </c>
      <c r="Z5">
        <v>2.4</v>
      </c>
      <c r="AA5">
        <f t="shared" si="1"/>
        <v>22.566666666666698</v>
      </c>
      <c r="AB5">
        <f>W9-R9</f>
        <v>6.3333333333333997</v>
      </c>
      <c r="AC5">
        <f t="shared" si="2"/>
        <v>22.566666666666698</v>
      </c>
      <c r="AD5">
        <f t="shared" si="3"/>
        <v>6.3333333333333997</v>
      </c>
    </row>
    <row r="6" spans="1:30" x14ac:dyDescent="0.25">
      <c r="A6" t="s">
        <v>16</v>
      </c>
      <c r="B6" s="3" t="s">
        <v>27</v>
      </c>
      <c r="C6" t="s">
        <v>9</v>
      </c>
      <c r="D6">
        <v>5</v>
      </c>
      <c r="E6">
        <f t="shared" si="0"/>
        <v>5</v>
      </c>
      <c r="F6" t="s">
        <v>18</v>
      </c>
      <c r="G6">
        <v>7302</v>
      </c>
      <c r="H6">
        <v>20.8333333333333</v>
      </c>
      <c r="K6">
        <v>3</v>
      </c>
      <c r="L6" t="s">
        <v>18</v>
      </c>
      <c r="M6">
        <v>7302</v>
      </c>
      <c r="N6">
        <v>20.8333333333333</v>
      </c>
      <c r="P6" t="s">
        <v>32</v>
      </c>
      <c r="Q6">
        <v>7302</v>
      </c>
      <c r="R6">
        <v>30.6666666666666</v>
      </c>
      <c r="T6">
        <v>3</v>
      </c>
      <c r="U6" t="s">
        <v>19</v>
      </c>
      <c r="V6">
        <v>7302</v>
      </c>
      <c r="W6">
        <v>40</v>
      </c>
      <c r="Y6">
        <v>7302</v>
      </c>
      <c r="Z6">
        <v>3</v>
      </c>
      <c r="AA6">
        <f t="shared" si="1"/>
        <v>9.8333333333333002</v>
      </c>
      <c r="AB6">
        <f>W6-R6</f>
        <v>9.3333333333333997</v>
      </c>
      <c r="AC6">
        <f t="shared" si="2"/>
        <v>9.8333333333333002</v>
      </c>
      <c r="AD6">
        <f t="shared" si="3"/>
        <v>9.3333333333333997</v>
      </c>
    </row>
    <row r="7" spans="1:30" x14ac:dyDescent="0.25">
      <c r="A7" t="s">
        <v>16</v>
      </c>
      <c r="B7" s="3" t="s">
        <v>26</v>
      </c>
      <c r="C7" t="s">
        <v>8</v>
      </c>
      <c r="D7">
        <v>5</v>
      </c>
      <c r="E7">
        <f t="shared" si="0"/>
        <v>5</v>
      </c>
      <c r="F7" t="s">
        <v>18</v>
      </c>
      <c r="G7">
        <v>7329</v>
      </c>
      <c r="H7">
        <v>24.1666666666666</v>
      </c>
      <c r="K7">
        <v>3</v>
      </c>
      <c r="L7" t="s">
        <v>18</v>
      </c>
      <c r="M7">
        <v>7329</v>
      </c>
      <c r="N7">
        <v>24.1666666666666</v>
      </c>
      <c r="P7" t="s">
        <v>32</v>
      </c>
      <c r="Q7">
        <v>7329</v>
      </c>
      <c r="R7">
        <v>49.1666666666666</v>
      </c>
      <c r="T7">
        <v>3</v>
      </c>
      <c r="U7" t="s">
        <v>19</v>
      </c>
      <c r="V7">
        <v>7329</v>
      </c>
      <c r="W7">
        <v>50.5</v>
      </c>
      <c r="Y7">
        <v>7329</v>
      </c>
      <c r="Z7">
        <v>3</v>
      </c>
      <c r="AA7">
        <f t="shared" si="1"/>
        <v>25</v>
      </c>
      <c r="AB7">
        <f>W7-R7</f>
        <v>1.3333333333333997</v>
      </c>
      <c r="AC7">
        <f t="shared" si="2"/>
        <v>25</v>
      </c>
      <c r="AD7">
        <f t="shared" si="3"/>
        <v>1.3333333333333997</v>
      </c>
    </row>
    <row r="8" spans="1:30" x14ac:dyDescent="0.25">
      <c r="A8" t="s">
        <v>16</v>
      </c>
      <c r="B8" s="3" t="s">
        <v>29</v>
      </c>
      <c r="C8" t="s">
        <v>7</v>
      </c>
      <c r="D8">
        <v>6</v>
      </c>
      <c r="E8">
        <f t="shared" si="0"/>
        <v>5.6</v>
      </c>
      <c r="F8" t="s">
        <v>18</v>
      </c>
      <c r="G8">
        <v>7302</v>
      </c>
      <c r="H8">
        <v>21.6666666666666</v>
      </c>
      <c r="K8">
        <v>3.6</v>
      </c>
      <c r="L8" t="s">
        <v>18</v>
      </c>
      <c r="M8">
        <v>7302</v>
      </c>
      <c r="N8">
        <v>21.6666666666666</v>
      </c>
      <c r="P8" t="s">
        <v>32</v>
      </c>
      <c r="Q8">
        <v>7302</v>
      </c>
      <c r="R8">
        <v>36.5</v>
      </c>
      <c r="T8">
        <v>2.4</v>
      </c>
      <c r="U8" t="s">
        <v>19</v>
      </c>
      <c r="V8">
        <v>7302</v>
      </c>
      <c r="W8">
        <v>40</v>
      </c>
      <c r="Y8">
        <v>7302</v>
      </c>
      <c r="Z8">
        <v>3.6</v>
      </c>
      <c r="AA8">
        <f t="shared" si="1"/>
        <v>14.8333333333334</v>
      </c>
      <c r="AB8">
        <f>W4-R4</f>
        <v>11.8333333333334</v>
      </c>
      <c r="AC8">
        <f t="shared" si="2"/>
        <v>14.8333333333334</v>
      </c>
      <c r="AD8">
        <f t="shared" si="3"/>
        <v>11.8333333333334</v>
      </c>
    </row>
    <row r="9" spans="1:30" x14ac:dyDescent="0.25">
      <c r="A9" t="s">
        <v>16</v>
      </c>
      <c r="B9" s="3" t="s">
        <v>28</v>
      </c>
      <c r="C9" t="s">
        <v>6</v>
      </c>
      <c r="D9">
        <v>6</v>
      </c>
      <c r="E9">
        <f t="shared" si="0"/>
        <v>5.6</v>
      </c>
      <c r="F9" t="s">
        <v>18</v>
      </c>
      <c r="G9">
        <v>7329</v>
      </c>
      <c r="H9">
        <v>23.3333333333333</v>
      </c>
      <c r="K9">
        <v>3.6</v>
      </c>
      <c r="L9" t="s">
        <v>18</v>
      </c>
      <c r="M9">
        <v>7329</v>
      </c>
      <c r="N9">
        <v>23.3333333333333</v>
      </c>
      <c r="P9" t="s">
        <v>32</v>
      </c>
      <c r="Q9">
        <v>7329</v>
      </c>
      <c r="R9">
        <v>50.6666666666666</v>
      </c>
      <c r="T9">
        <v>2.4</v>
      </c>
      <c r="U9" t="s">
        <v>19</v>
      </c>
      <c r="V9">
        <v>7329</v>
      </c>
      <c r="W9">
        <v>57</v>
      </c>
      <c r="Y9">
        <v>7329</v>
      </c>
      <c r="Z9">
        <v>3.6</v>
      </c>
      <c r="AA9">
        <f t="shared" si="1"/>
        <v>27.3333333333333</v>
      </c>
      <c r="AB9">
        <f>W5-R5</f>
        <v>8.2666666666666018</v>
      </c>
      <c r="AC9">
        <f t="shared" si="2"/>
        <v>27.3333333333333</v>
      </c>
      <c r="AD9">
        <f t="shared" si="3"/>
        <v>8.2666666666666018</v>
      </c>
    </row>
    <row r="10" spans="1:30" x14ac:dyDescent="0.25">
      <c r="A10" t="s">
        <v>16</v>
      </c>
      <c r="B10" s="3" t="s">
        <v>31</v>
      </c>
      <c r="C10" t="s">
        <v>4</v>
      </c>
      <c r="D10">
        <v>8</v>
      </c>
      <c r="E10">
        <f t="shared" si="0"/>
        <v>6.8</v>
      </c>
      <c r="F10" t="s">
        <v>18</v>
      </c>
      <c r="G10">
        <v>7302</v>
      </c>
      <c r="H10">
        <v>19.8333333333333</v>
      </c>
      <c r="K10">
        <v>4.8</v>
      </c>
      <c r="L10" t="s">
        <v>18</v>
      </c>
      <c r="M10">
        <v>7302</v>
      </c>
      <c r="N10">
        <v>19.8333333333333</v>
      </c>
      <c r="P10" t="s">
        <v>32</v>
      </c>
      <c r="Q10">
        <v>7302</v>
      </c>
      <c r="R10">
        <v>40.3333333333333</v>
      </c>
      <c r="T10">
        <v>1.2</v>
      </c>
      <c r="U10" t="s">
        <v>19</v>
      </c>
      <c r="V10">
        <v>7302</v>
      </c>
      <c r="W10">
        <v>40</v>
      </c>
      <c r="Y10">
        <v>7302</v>
      </c>
      <c r="Z10">
        <v>4.8</v>
      </c>
      <c r="AA10">
        <f t="shared" si="1"/>
        <v>20.5</v>
      </c>
      <c r="AB10">
        <f>W2-R2</f>
        <v>19.5</v>
      </c>
      <c r="AC10">
        <f t="shared" si="2"/>
        <v>20.5</v>
      </c>
      <c r="AD10">
        <f t="shared" si="3"/>
        <v>19.5</v>
      </c>
    </row>
    <row r="11" spans="1:30" x14ac:dyDescent="0.25">
      <c r="A11" t="s">
        <v>16</v>
      </c>
      <c r="B11" s="3" t="s">
        <v>30</v>
      </c>
      <c r="C11" t="s">
        <v>3</v>
      </c>
      <c r="D11">
        <v>8</v>
      </c>
      <c r="E11">
        <f t="shared" si="0"/>
        <v>6.8</v>
      </c>
      <c r="F11" t="s">
        <v>18</v>
      </c>
      <c r="G11">
        <v>7329</v>
      </c>
      <c r="H11">
        <v>32.799999999999997</v>
      </c>
      <c r="K11">
        <v>4.8</v>
      </c>
      <c r="L11" t="s">
        <v>18</v>
      </c>
      <c r="M11">
        <v>7329</v>
      </c>
      <c r="N11">
        <v>32.799999999999997</v>
      </c>
      <c r="P11" t="s">
        <v>32</v>
      </c>
      <c r="Q11">
        <v>7329</v>
      </c>
      <c r="R11">
        <v>63.75</v>
      </c>
      <c r="T11">
        <v>1.2</v>
      </c>
      <c r="U11" t="s">
        <v>19</v>
      </c>
      <c r="V11">
        <v>7329</v>
      </c>
      <c r="W11">
        <v>69.5</v>
      </c>
      <c r="Y11">
        <v>7329</v>
      </c>
      <c r="Z11">
        <v>4.8</v>
      </c>
      <c r="AA11">
        <f t="shared" si="1"/>
        <v>30.950000000000003</v>
      </c>
      <c r="AB11">
        <f>W3-R3</f>
        <v>5.0333333333334025</v>
      </c>
      <c r="AC11">
        <f t="shared" si="2"/>
        <v>30.950000000000003</v>
      </c>
      <c r="AD11">
        <f t="shared" si="3"/>
        <v>5.0333333333334025</v>
      </c>
    </row>
    <row r="12" spans="1:30" x14ac:dyDescent="0.25">
      <c r="A12" t="s">
        <v>16</v>
      </c>
      <c r="B12" s="3" t="s">
        <v>23</v>
      </c>
      <c r="C12" t="s">
        <v>11</v>
      </c>
      <c r="D12">
        <v>2</v>
      </c>
      <c r="E12">
        <f t="shared" si="0"/>
        <v>3.2</v>
      </c>
      <c r="F12" t="s">
        <v>19</v>
      </c>
      <c r="G12">
        <v>7302</v>
      </c>
      <c r="H12">
        <v>40</v>
      </c>
    </row>
    <row r="13" spans="1:30" x14ac:dyDescent="0.25">
      <c r="A13" t="s">
        <v>16</v>
      </c>
      <c r="B13" s="3" t="s">
        <v>22</v>
      </c>
      <c r="C13" t="s">
        <v>10</v>
      </c>
      <c r="D13">
        <v>2</v>
      </c>
      <c r="E13">
        <f t="shared" si="0"/>
        <v>3.2</v>
      </c>
      <c r="F13" t="s">
        <v>19</v>
      </c>
      <c r="G13">
        <v>7329</v>
      </c>
      <c r="H13">
        <v>32.200000000000003</v>
      </c>
      <c r="Y13">
        <v>7302</v>
      </c>
      <c r="Z13">
        <v>1.2</v>
      </c>
      <c r="AA13">
        <v>0.66666666666669983</v>
      </c>
      <c r="AB13">
        <v>-0.33333333333330017</v>
      </c>
      <c r="AC13">
        <v>0.66666666666669983</v>
      </c>
      <c r="AD13">
        <v>0.33333333333330017</v>
      </c>
    </row>
    <row r="14" spans="1:30" x14ac:dyDescent="0.25">
      <c r="A14" t="s">
        <v>16</v>
      </c>
      <c r="B14" s="3" t="s">
        <v>25</v>
      </c>
      <c r="C14" t="s">
        <v>13</v>
      </c>
      <c r="D14">
        <v>4</v>
      </c>
      <c r="E14">
        <f t="shared" si="0"/>
        <v>4.4000000000000004</v>
      </c>
      <c r="F14" t="s">
        <v>19</v>
      </c>
      <c r="G14">
        <v>7302</v>
      </c>
      <c r="H14">
        <v>40</v>
      </c>
      <c r="Y14">
        <v>7302</v>
      </c>
      <c r="Z14">
        <v>2.4</v>
      </c>
      <c r="AA14">
        <v>8.1666666666666003</v>
      </c>
      <c r="AB14">
        <v>3.5</v>
      </c>
      <c r="AC14">
        <v>8.1666666666666003</v>
      </c>
      <c r="AD14">
        <v>3.5</v>
      </c>
    </row>
    <row r="15" spans="1:30" x14ac:dyDescent="0.25">
      <c r="A15" t="s">
        <v>16</v>
      </c>
      <c r="B15" s="3" t="s">
        <v>24</v>
      </c>
      <c r="C15" t="s">
        <v>12</v>
      </c>
      <c r="D15">
        <v>4</v>
      </c>
      <c r="E15">
        <f t="shared" si="0"/>
        <v>4.4000000000000004</v>
      </c>
      <c r="F15" t="s">
        <v>19</v>
      </c>
      <c r="G15">
        <v>7329</v>
      </c>
      <c r="H15">
        <v>50.6666666666666</v>
      </c>
      <c r="Y15">
        <v>7302</v>
      </c>
      <c r="Z15">
        <v>3</v>
      </c>
      <c r="AA15">
        <v>9.8333333333333002</v>
      </c>
      <c r="AB15">
        <v>9.3333333333333997</v>
      </c>
      <c r="AC15">
        <v>9.8333333333333002</v>
      </c>
      <c r="AD15">
        <v>9.3333333333333997</v>
      </c>
    </row>
    <row r="16" spans="1:30" x14ac:dyDescent="0.25">
      <c r="A16" t="s">
        <v>16</v>
      </c>
      <c r="B16" s="3" t="s">
        <v>27</v>
      </c>
      <c r="C16" t="s">
        <v>9</v>
      </c>
      <c r="D16">
        <v>5</v>
      </c>
      <c r="E16">
        <f t="shared" si="0"/>
        <v>5</v>
      </c>
      <c r="F16" t="s">
        <v>19</v>
      </c>
      <c r="G16">
        <v>7302</v>
      </c>
      <c r="H16">
        <v>40</v>
      </c>
      <c r="Y16">
        <v>7302</v>
      </c>
      <c r="Z16">
        <v>3.6</v>
      </c>
      <c r="AA16">
        <v>14.8333333333334</v>
      </c>
      <c r="AB16">
        <v>11.8333333333334</v>
      </c>
      <c r="AC16">
        <v>14.8333333333334</v>
      </c>
      <c r="AD16">
        <v>11.8333333333334</v>
      </c>
    </row>
    <row r="17" spans="1:30" x14ac:dyDescent="0.25">
      <c r="A17" t="s">
        <v>16</v>
      </c>
      <c r="B17" s="3" t="s">
        <v>26</v>
      </c>
      <c r="C17" t="s">
        <v>8</v>
      </c>
      <c r="D17">
        <v>5</v>
      </c>
      <c r="E17">
        <f t="shared" si="0"/>
        <v>5</v>
      </c>
      <c r="F17" t="s">
        <v>19</v>
      </c>
      <c r="G17">
        <v>7329</v>
      </c>
      <c r="H17">
        <v>50.5</v>
      </c>
      <c r="Y17">
        <v>7302</v>
      </c>
      <c r="Z17">
        <v>4.8</v>
      </c>
      <c r="AA17">
        <v>20.5</v>
      </c>
      <c r="AB17">
        <v>19.5</v>
      </c>
      <c r="AC17">
        <v>20.5</v>
      </c>
      <c r="AD17">
        <v>19.5</v>
      </c>
    </row>
    <row r="18" spans="1:30" x14ac:dyDescent="0.25">
      <c r="A18" t="s">
        <v>16</v>
      </c>
      <c r="B18" s="3" t="s">
        <v>29</v>
      </c>
      <c r="C18" t="s">
        <v>7</v>
      </c>
      <c r="D18">
        <v>6</v>
      </c>
      <c r="E18">
        <f t="shared" si="0"/>
        <v>5.6</v>
      </c>
      <c r="F18" t="s">
        <v>19</v>
      </c>
      <c r="G18">
        <v>7302</v>
      </c>
      <c r="H18">
        <v>40</v>
      </c>
      <c r="Y18">
        <v>7329</v>
      </c>
      <c r="Z18">
        <v>1.2</v>
      </c>
      <c r="AA18">
        <v>7.1666666666666003</v>
      </c>
      <c r="AB18">
        <v>5.75</v>
      </c>
      <c r="AC18">
        <v>7.1666666666666003</v>
      </c>
      <c r="AD18">
        <v>5.75</v>
      </c>
    </row>
    <row r="19" spans="1:30" x14ac:dyDescent="0.25">
      <c r="A19" t="s">
        <v>16</v>
      </c>
      <c r="B19" s="3" t="s">
        <v>28</v>
      </c>
      <c r="C19" t="s">
        <v>6</v>
      </c>
      <c r="D19">
        <v>6</v>
      </c>
      <c r="E19">
        <f t="shared" si="0"/>
        <v>5.6</v>
      </c>
      <c r="F19" t="s">
        <v>19</v>
      </c>
      <c r="G19">
        <v>7329</v>
      </c>
      <c r="H19">
        <v>57</v>
      </c>
      <c r="Y19">
        <v>7329</v>
      </c>
      <c r="Z19">
        <v>2.4</v>
      </c>
      <c r="AA19">
        <v>22.566666666666698</v>
      </c>
      <c r="AB19">
        <v>6.3333333333333997</v>
      </c>
      <c r="AC19">
        <v>22.566666666666698</v>
      </c>
      <c r="AD19">
        <v>6.3333333333333997</v>
      </c>
    </row>
    <row r="20" spans="1:30" x14ac:dyDescent="0.25">
      <c r="A20" t="s">
        <v>16</v>
      </c>
      <c r="B20" s="3" t="s">
        <v>31</v>
      </c>
      <c r="C20" t="s">
        <v>4</v>
      </c>
      <c r="D20">
        <v>8</v>
      </c>
      <c r="E20">
        <f t="shared" si="0"/>
        <v>6.8</v>
      </c>
      <c r="F20" t="s">
        <v>19</v>
      </c>
      <c r="G20">
        <v>7302</v>
      </c>
      <c r="H20">
        <v>40</v>
      </c>
      <c r="Y20">
        <v>7329</v>
      </c>
      <c r="Z20">
        <v>3</v>
      </c>
      <c r="AA20">
        <v>25</v>
      </c>
      <c r="AB20">
        <v>1.3333333333333997</v>
      </c>
      <c r="AC20">
        <v>25</v>
      </c>
      <c r="AD20">
        <v>1.3333333333333997</v>
      </c>
    </row>
    <row r="21" spans="1:30" x14ac:dyDescent="0.25">
      <c r="A21" t="s">
        <v>16</v>
      </c>
      <c r="B21" s="3" t="s">
        <v>30</v>
      </c>
      <c r="C21" t="s">
        <v>3</v>
      </c>
      <c r="D21">
        <v>8</v>
      </c>
      <c r="E21">
        <f t="shared" si="0"/>
        <v>6.8</v>
      </c>
      <c r="F21" t="s">
        <v>19</v>
      </c>
      <c r="G21">
        <v>7329</v>
      </c>
      <c r="H21">
        <v>69.5</v>
      </c>
      <c r="Y21">
        <v>7329</v>
      </c>
      <c r="Z21">
        <v>3.6</v>
      </c>
      <c r="AA21">
        <v>27.3333333333333</v>
      </c>
      <c r="AB21">
        <v>8.2666666666666018</v>
      </c>
      <c r="AC21">
        <v>27.3333333333333</v>
      </c>
      <c r="AD21">
        <v>8.2666666666666018</v>
      </c>
    </row>
    <row r="22" spans="1:30" x14ac:dyDescent="0.25">
      <c r="A22" t="s">
        <v>17</v>
      </c>
      <c r="B22" s="3" t="s">
        <v>22</v>
      </c>
      <c r="C22" t="s">
        <v>10</v>
      </c>
      <c r="D22">
        <v>2</v>
      </c>
      <c r="E22">
        <f t="shared" si="0"/>
        <v>3.2</v>
      </c>
      <c r="F22" t="s">
        <v>32</v>
      </c>
      <c r="G22">
        <v>7302</v>
      </c>
      <c r="H22">
        <v>20.5</v>
      </c>
      <c r="Y22">
        <v>7329</v>
      </c>
      <c r="Z22">
        <v>4.8</v>
      </c>
      <c r="AA22">
        <v>30.950000000000003</v>
      </c>
      <c r="AB22">
        <v>5.0333333333334025</v>
      </c>
      <c r="AC22">
        <v>30.950000000000003</v>
      </c>
      <c r="AD22">
        <v>5.0333333333334025</v>
      </c>
    </row>
    <row r="23" spans="1:30" x14ac:dyDescent="0.25">
      <c r="A23" t="s">
        <v>17</v>
      </c>
      <c r="B23" s="3" t="s">
        <v>22</v>
      </c>
      <c r="C23" t="s">
        <v>10</v>
      </c>
      <c r="D23">
        <v>2</v>
      </c>
      <c r="E23">
        <f t="shared" si="0"/>
        <v>3.2</v>
      </c>
      <c r="F23" t="s">
        <v>32</v>
      </c>
      <c r="G23">
        <v>7329</v>
      </c>
      <c r="H23">
        <v>27.1666666666666</v>
      </c>
    </row>
    <row r="24" spans="1:30" x14ac:dyDescent="0.25">
      <c r="A24" t="s">
        <v>17</v>
      </c>
      <c r="B24" s="3" t="s">
        <v>24</v>
      </c>
      <c r="C24" t="s">
        <v>12</v>
      </c>
      <c r="D24">
        <v>4</v>
      </c>
      <c r="E24">
        <f t="shared" si="0"/>
        <v>4.4000000000000004</v>
      </c>
      <c r="F24" t="s">
        <v>32</v>
      </c>
      <c r="G24">
        <v>7302</v>
      </c>
      <c r="H24">
        <v>28.1666666666666</v>
      </c>
    </row>
    <row r="25" spans="1:30" x14ac:dyDescent="0.25">
      <c r="A25" t="s">
        <v>17</v>
      </c>
      <c r="B25" s="3" t="s">
        <v>24</v>
      </c>
      <c r="C25" t="s">
        <v>12</v>
      </c>
      <c r="D25">
        <v>4</v>
      </c>
      <c r="E25">
        <f t="shared" si="0"/>
        <v>4.4000000000000004</v>
      </c>
      <c r="F25" t="s">
        <v>32</v>
      </c>
      <c r="G25">
        <v>7329</v>
      </c>
      <c r="H25">
        <v>42.4</v>
      </c>
    </row>
    <row r="26" spans="1:30" x14ac:dyDescent="0.25">
      <c r="A26" t="s">
        <v>17</v>
      </c>
      <c r="B26" s="3" t="s">
        <v>26</v>
      </c>
      <c r="C26" t="s">
        <v>8</v>
      </c>
      <c r="D26">
        <v>5</v>
      </c>
      <c r="E26">
        <f t="shared" si="0"/>
        <v>5</v>
      </c>
      <c r="F26" t="s">
        <v>32</v>
      </c>
      <c r="G26">
        <v>7302</v>
      </c>
      <c r="H26">
        <v>30.6666666666666</v>
      </c>
    </row>
    <row r="27" spans="1:30" x14ac:dyDescent="0.25">
      <c r="A27" t="s">
        <v>17</v>
      </c>
      <c r="B27" s="3" t="s">
        <v>26</v>
      </c>
      <c r="C27" t="s">
        <v>8</v>
      </c>
      <c r="D27">
        <v>5</v>
      </c>
      <c r="E27">
        <f t="shared" si="0"/>
        <v>5</v>
      </c>
      <c r="F27" t="s">
        <v>32</v>
      </c>
      <c r="G27">
        <v>7329</v>
      </c>
      <c r="H27">
        <v>49.1666666666666</v>
      </c>
    </row>
    <row r="28" spans="1:30" x14ac:dyDescent="0.25">
      <c r="A28" t="s">
        <v>17</v>
      </c>
      <c r="B28" s="3" t="s">
        <v>28</v>
      </c>
      <c r="C28" t="s">
        <v>6</v>
      </c>
      <c r="D28">
        <v>6</v>
      </c>
      <c r="E28">
        <f t="shared" si="0"/>
        <v>5.6</v>
      </c>
      <c r="F28" t="s">
        <v>32</v>
      </c>
      <c r="G28">
        <v>7302</v>
      </c>
      <c r="H28">
        <v>36.5</v>
      </c>
    </row>
    <row r="29" spans="1:30" x14ac:dyDescent="0.25">
      <c r="A29" t="s">
        <v>17</v>
      </c>
      <c r="B29" s="3" t="s">
        <v>28</v>
      </c>
      <c r="C29" t="s">
        <v>6</v>
      </c>
      <c r="D29">
        <v>6</v>
      </c>
      <c r="E29">
        <f t="shared" si="0"/>
        <v>5.6</v>
      </c>
      <c r="F29" t="s">
        <v>32</v>
      </c>
      <c r="G29">
        <v>7329</v>
      </c>
      <c r="H29">
        <v>50.6666666666666</v>
      </c>
    </row>
    <row r="30" spans="1:30" x14ac:dyDescent="0.25">
      <c r="A30" t="s">
        <v>17</v>
      </c>
      <c r="B30" s="3" t="s">
        <v>30</v>
      </c>
      <c r="C30" t="s">
        <v>3</v>
      </c>
      <c r="D30">
        <v>8</v>
      </c>
      <c r="E30">
        <f t="shared" si="0"/>
        <v>6.8</v>
      </c>
      <c r="F30" t="s">
        <v>32</v>
      </c>
      <c r="G30">
        <v>7302</v>
      </c>
      <c r="H30">
        <v>40.3333333333333</v>
      </c>
    </row>
    <row r="31" spans="1:30" x14ac:dyDescent="0.25">
      <c r="A31" t="s">
        <v>17</v>
      </c>
      <c r="B31" s="3" t="s">
        <v>30</v>
      </c>
      <c r="C31" t="s">
        <v>3</v>
      </c>
      <c r="D31">
        <v>8</v>
      </c>
      <c r="E31">
        <f t="shared" si="0"/>
        <v>6.8</v>
      </c>
      <c r="F31" t="s">
        <v>32</v>
      </c>
      <c r="G31">
        <v>7329</v>
      </c>
      <c r="H31">
        <v>63.75</v>
      </c>
    </row>
  </sheetData>
  <sortState xmlns:xlrd2="http://schemas.microsoft.com/office/spreadsheetml/2017/richdata2" ref="Y13:AD22">
    <sortCondition ref="Y13:Y22"/>
  </sortState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��o:ydkY:No:y�vN�N�c���VB\
</file>

<file path=customXml/item2.xml>��o:ydkY:No:y�vN�N�c��
</file>

<file path=customXml/itemProps1.xml><?xml version="1.0" encoding="utf-8"?>
<ds:datastoreItem xmlns:ds="http://schemas.openxmlformats.org/officeDocument/2006/customXml" ds:itemID="{DED17C93-7FE8-456C-B40B-FE8C5D0EACF1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F0AAD4CB-3DEF-4243-9925-DBED5B21F636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Allocation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Xuqi</dc:creator>
  <cp:lastModifiedBy>Xuqi Liu</cp:lastModifiedBy>
  <dcterms:created xsi:type="dcterms:W3CDTF">2025-10-02T14:01:02Z</dcterms:created>
  <dcterms:modified xsi:type="dcterms:W3CDTF">2026-06-22T09:38:23Z</dcterms:modified>
</cp:coreProperties>
</file>